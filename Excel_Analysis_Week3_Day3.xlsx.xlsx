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PivotTable_Summary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Slicers_Instructions" sheetId="4" state="visible" r:id="rId4"/>
    <sheet xmlns:r="http://schemas.openxmlformats.org/officeDocument/2006/relationships" name="PowerQuery_Instructions" sheetId="5" state="visible" r:id="rId5"/>
    <sheet xmlns:r="http://schemas.openxmlformats.org/officeDocument/2006/relationships" name="Deliverable_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8"/>
    </font>
    <font>
      <b val="1"/>
      <sz val="15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'Dashboard'!$A$11:$A$14</f>
            </numRef>
          </cat>
          <val>
            <numRef>
              <f>'Dashboard'!$B$11:$B$14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J129" headerRowCount="1">
  <autoFilter ref="A1:J129"/>
  <tableColumns count="10">
    <tableColumn id="1" name="Year"/>
    <tableColumn id="2" name="Quarter"/>
    <tableColumn id="3" name="Region"/>
    <tableColumn id="4" name="Product"/>
    <tableColumn id="5" name="Units"/>
    <tableColumn id="6" name="Unit Price"/>
    <tableColumn id="7" name="Revenue"/>
    <tableColumn id="8" name="Cost"/>
    <tableColumn id="9" name="Margin"/>
    <tableColumn id="10" name="Margin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Units</t>
        </is>
      </c>
      <c r="F1" s="1" t="inlineStr">
        <is>
          <t>Unit Price</t>
        </is>
      </c>
      <c r="G1" s="1" t="inlineStr">
        <is>
          <t>Revenue</t>
        </is>
      </c>
      <c r="H1" s="1" t="inlineStr">
        <is>
          <t>Cost</t>
        </is>
      </c>
      <c r="I1" s="1" t="inlineStr">
        <is>
          <t>Margin</t>
        </is>
      </c>
      <c r="J1" s="1" t="inlineStr">
        <is>
          <t>Margin %</t>
        </is>
      </c>
    </row>
    <row r="2">
      <c r="A2" t="n">
        <v>2025</v>
      </c>
      <c r="B2" t="inlineStr">
        <is>
          <t>Q1</t>
        </is>
      </c>
      <c r="C2" t="inlineStr">
        <is>
          <t>North</t>
        </is>
      </c>
      <c r="D2" t="inlineStr">
        <is>
          <t>Laptop</t>
        </is>
      </c>
      <c r="E2" t="n">
        <v>101</v>
      </c>
      <c r="F2" s="2" t="n">
        <v>65000</v>
      </c>
      <c r="G2" s="2" t="n">
        <v>6565000</v>
      </c>
      <c r="H2" s="2" t="n">
        <v>4216477.69</v>
      </c>
      <c r="I2" s="2">
        <f>G2-H2</f>
        <v/>
      </c>
      <c r="J2" s="3">
        <f>IFERROR(I2/G2,0)</f>
        <v/>
      </c>
    </row>
    <row r="3">
      <c r="A3" t="n">
        <v>2025</v>
      </c>
      <c r="B3" t="inlineStr">
        <is>
          <t>Q1</t>
        </is>
      </c>
      <c r="C3" t="inlineStr">
        <is>
          <t>North</t>
        </is>
      </c>
      <c r="D3" t="inlineStr">
        <is>
          <t>Monitor</t>
        </is>
      </c>
      <c r="E3" t="n">
        <v>114</v>
      </c>
      <c r="F3" s="2" t="n">
        <v>18000</v>
      </c>
      <c r="G3" s="2" t="n">
        <v>2052000</v>
      </c>
      <c r="H3" s="2" t="n">
        <v>1385112.03</v>
      </c>
      <c r="I3" s="2">
        <f>G3-H3</f>
        <v/>
      </c>
      <c r="J3" s="3">
        <f>IFERROR(I3/G3,0)</f>
        <v/>
      </c>
    </row>
    <row r="4">
      <c r="A4" t="n">
        <v>2025</v>
      </c>
      <c r="B4" t="inlineStr">
        <is>
          <t>Q1</t>
        </is>
      </c>
      <c r="C4" t="inlineStr">
        <is>
          <t>North</t>
        </is>
      </c>
      <c r="D4" t="inlineStr">
        <is>
          <t>Keyboard</t>
        </is>
      </c>
      <c r="E4" t="n">
        <v>48</v>
      </c>
      <c r="F4" s="2" t="n">
        <v>2500</v>
      </c>
      <c r="G4" s="2" t="n">
        <v>120000</v>
      </c>
      <c r="H4" s="2" t="n">
        <v>77748.91</v>
      </c>
      <c r="I4" s="2">
        <f>G4-H4</f>
        <v/>
      </c>
      <c r="J4" s="3">
        <f>IFERROR(I4/G4,0)</f>
        <v/>
      </c>
    </row>
    <row r="5">
      <c r="A5" t="n">
        <v>2025</v>
      </c>
      <c r="B5" t="inlineStr">
        <is>
          <t>Q1</t>
        </is>
      </c>
      <c r="C5" t="inlineStr">
        <is>
          <t>North</t>
        </is>
      </c>
      <c r="D5" t="inlineStr">
        <is>
          <t>Mouse</t>
        </is>
      </c>
      <c r="E5" t="n">
        <v>33</v>
      </c>
      <c r="F5" s="2" t="n">
        <v>1200</v>
      </c>
      <c r="G5" s="2" t="n">
        <v>39600</v>
      </c>
      <c r="H5" s="2" t="n">
        <v>29911.46</v>
      </c>
      <c r="I5" s="2">
        <f>G5-H5</f>
        <v/>
      </c>
      <c r="J5" s="3">
        <f>IFERROR(I5/G5,0)</f>
        <v/>
      </c>
    </row>
    <row r="6">
      <c r="A6" t="n">
        <v>2025</v>
      </c>
      <c r="B6" t="inlineStr">
        <is>
          <t>Q1</t>
        </is>
      </c>
      <c r="C6" t="inlineStr">
        <is>
          <t>South</t>
        </is>
      </c>
      <c r="D6" t="inlineStr">
        <is>
          <t>Laptop</t>
        </is>
      </c>
      <c r="E6" t="n">
        <v>89</v>
      </c>
      <c r="F6" s="2" t="n">
        <v>65000</v>
      </c>
      <c r="G6" s="2" t="n">
        <v>5785000</v>
      </c>
      <c r="H6" s="2" t="n">
        <v>3687288.23</v>
      </c>
      <c r="I6" s="2">
        <f>G6-H6</f>
        <v/>
      </c>
      <c r="J6" s="3">
        <f>IFERROR(I6/G6,0)</f>
        <v/>
      </c>
    </row>
    <row r="7">
      <c r="A7" t="n">
        <v>2025</v>
      </c>
      <c r="B7" t="inlineStr">
        <is>
          <t>Q1</t>
        </is>
      </c>
      <c r="C7" t="inlineStr">
        <is>
          <t>South</t>
        </is>
      </c>
      <c r="D7" t="inlineStr">
        <is>
          <t>Monitor</t>
        </is>
      </c>
      <c r="E7" t="n">
        <v>74</v>
      </c>
      <c r="F7" s="2" t="n">
        <v>18000</v>
      </c>
      <c r="G7" s="2" t="n">
        <v>1332000</v>
      </c>
      <c r="H7" s="2" t="n">
        <v>834306.91</v>
      </c>
      <c r="I7" s="2">
        <f>G7-H7</f>
        <v/>
      </c>
      <c r="J7" s="3">
        <f>IFERROR(I7/G7,0)</f>
        <v/>
      </c>
    </row>
    <row r="8">
      <c r="A8" t="n">
        <v>2025</v>
      </c>
      <c r="B8" t="inlineStr">
        <is>
          <t>Q1</t>
        </is>
      </c>
      <c r="C8" t="inlineStr">
        <is>
          <t>South</t>
        </is>
      </c>
      <c r="D8" t="inlineStr">
        <is>
          <t>Keyboard</t>
        </is>
      </c>
      <c r="E8" t="n">
        <v>31</v>
      </c>
      <c r="F8" s="2" t="n">
        <v>2500</v>
      </c>
      <c r="G8" s="2" t="n">
        <v>77500</v>
      </c>
      <c r="H8" s="2" t="n">
        <v>51438.89</v>
      </c>
      <c r="I8" s="2">
        <f>G8-H8</f>
        <v/>
      </c>
      <c r="J8" s="3">
        <f>IFERROR(I8/G8,0)</f>
        <v/>
      </c>
    </row>
    <row r="9">
      <c r="A9" t="n">
        <v>2025</v>
      </c>
      <c r="B9" t="inlineStr">
        <is>
          <t>Q1</t>
        </is>
      </c>
      <c r="C9" t="inlineStr">
        <is>
          <t>South</t>
        </is>
      </c>
      <c r="D9" t="inlineStr">
        <is>
          <t>Mouse</t>
        </is>
      </c>
      <c r="E9" t="n">
        <v>84</v>
      </c>
      <c r="F9" s="2" t="n">
        <v>1200</v>
      </c>
      <c r="G9" s="2" t="n">
        <v>100800</v>
      </c>
      <c r="H9" s="2" t="n">
        <v>74632.7</v>
      </c>
      <c r="I9" s="2">
        <f>G9-H9</f>
        <v/>
      </c>
      <c r="J9" s="3">
        <f>IFERROR(I9/G9,0)</f>
        <v/>
      </c>
    </row>
    <row r="10">
      <c r="A10" t="n">
        <v>2025</v>
      </c>
      <c r="B10" t="inlineStr">
        <is>
          <t>Q1</t>
        </is>
      </c>
      <c r="C10" t="inlineStr">
        <is>
          <t>East</t>
        </is>
      </c>
      <c r="D10" t="inlineStr">
        <is>
          <t>Laptop</t>
        </is>
      </c>
      <c r="E10" t="n">
        <v>91</v>
      </c>
      <c r="F10" s="2" t="n">
        <v>65000</v>
      </c>
      <c r="G10" s="2" t="n">
        <v>5915000</v>
      </c>
      <c r="H10" s="2" t="n">
        <v>3902524.94</v>
      </c>
      <c r="I10" s="2">
        <f>G10-H10</f>
        <v/>
      </c>
      <c r="J10" s="3">
        <f>IFERROR(I10/G10,0)</f>
        <v/>
      </c>
    </row>
    <row r="11">
      <c r="A11" t="n">
        <v>2025</v>
      </c>
      <c r="B11" t="inlineStr">
        <is>
          <t>Q1</t>
        </is>
      </c>
      <c r="C11" t="inlineStr">
        <is>
          <t>East</t>
        </is>
      </c>
      <c r="D11" t="inlineStr">
        <is>
          <t>Monitor</t>
        </is>
      </c>
      <c r="E11" t="n">
        <v>103</v>
      </c>
      <c r="F11" s="2" t="n">
        <v>18000</v>
      </c>
      <c r="G11" s="2" t="n">
        <v>1854000</v>
      </c>
      <c r="H11" s="2" t="n">
        <v>1409531.3</v>
      </c>
      <c r="I11" s="2">
        <f>G11-H11</f>
        <v/>
      </c>
      <c r="J11" s="3">
        <f>IFERROR(I11/G11,0)</f>
        <v/>
      </c>
    </row>
    <row r="12">
      <c r="A12" t="n">
        <v>2025</v>
      </c>
      <c r="B12" t="inlineStr">
        <is>
          <t>Q1</t>
        </is>
      </c>
      <c r="C12" t="inlineStr">
        <is>
          <t>East</t>
        </is>
      </c>
      <c r="D12" t="inlineStr">
        <is>
          <t>Keyboard</t>
        </is>
      </c>
      <c r="E12" t="n">
        <v>73</v>
      </c>
      <c r="F12" s="2" t="n">
        <v>2500</v>
      </c>
      <c r="G12" s="2" t="n">
        <v>182500</v>
      </c>
      <c r="H12" s="2" t="n">
        <v>121196.08</v>
      </c>
      <c r="I12" s="2">
        <f>G12-H12</f>
        <v/>
      </c>
      <c r="J12" s="3">
        <f>IFERROR(I12/G12,0)</f>
        <v/>
      </c>
    </row>
    <row r="13">
      <c r="A13" t="n">
        <v>2025</v>
      </c>
      <c r="B13" t="inlineStr">
        <is>
          <t>Q1</t>
        </is>
      </c>
      <c r="C13" t="inlineStr">
        <is>
          <t>East</t>
        </is>
      </c>
      <c r="D13" t="inlineStr">
        <is>
          <t>Mouse</t>
        </is>
      </c>
      <c r="E13" t="n">
        <v>95</v>
      </c>
      <c r="F13" s="2" t="n">
        <v>1200</v>
      </c>
      <c r="G13" s="2" t="n">
        <v>114000</v>
      </c>
      <c r="H13" s="2" t="n">
        <v>77022.75</v>
      </c>
      <c r="I13" s="2">
        <f>G13-H13</f>
        <v/>
      </c>
      <c r="J13" s="3">
        <f>IFERROR(I13/G13,0)</f>
        <v/>
      </c>
    </row>
    <row r="14">
      <c r="A14" t="n">
        <v>2025</v>
      </c>
      <c r="B14" t="inlineStr">
        <is>
          <t>Q1</t>
        </is>
      </c>
      <c r="C14" t="inlineStr">
        <is>
          <t>West</t>
        </is>
      </c>
      <c r="D14" t="inlineStr">
        <is>
          <t>Laptop</t>
        </is>
      </c>
      <c r="E14" t="n">
        <v>20</v>
      </c>
      <c r="F14" s="2" t="n">
        <v>65000</v>
      </c>
      <c r="G14" s="2" t="n">
        <v>1300000</v>
      </c>
      <c r="H14" s="2" t="n">
        <v>1003289.92</v>
      </c>
      <c r="I14" s="2">
        <f>G14-H14</f>
        <v/>
      </c>
      <c r="J14" s="3">
        <f>IFERROR(I14/G14,0)</f>
        <v/>
      </c>
    </row>
    <row r="15">
      <c r="A15" t="n">
        <v>2025</v>
      </c>
      <c r="B15" t="inlineStr">
        <is>
          <t>Q1</t>
        </is>
      </c>
      <c r="C15" t="inlineStr">
        <is>
          <t>West</t>
        </is>
      </c>
      <c r="D15" t="inlineStr">
        <is>
          <t>Monitor</t>
        </is>
      </c>
      <c r="E15" t="n">
        <v>40</v>
      </c>
      <c r="F15" s="2" t="n">
        <v>18000</v>
      </c>
      <c r="G15" s="2" t="n">
        <v>720000</v>
      </c>
      <c r="H15" s="2" t="n">
        <v>546932.0699999999</v>
      </c>
      <c r="I15" s="2">
        <f>G15-H15</f>
        <v/>
      </c>
      <c r="J15" s="3">
        <f>IFERROR(I15/G15,0)</f>
        <v/>
      </c>
    </row>
    <row r="16">
      <c r="A16" t="n">
        <v>2025</v>
      </c>
      <c r="B16" t="inlineStr">
        <is>
          <t>Q1</t>
        </is>
      </c>
      <c r="C16" t="inlineStr">
        <is>
          <t>West</t>
        </is>
      </c>
      <c r="D16" t="inlineStr">
        <is>
          <t>Keyboard</t>
        </is>
      </c>
      <c r="E16" t="n">
        <v>63</v>
      </c>
      <c r="F16" s="2" t="n">
        <v>2500</v>
      </c>
      <c r="G16" s="2" t="n">
        <v>157500</v>
      </c>
      <c r="H16" s="2" t="n">
        <v>106402.95</v>
      </c>
      <c r="I16" s="2">
        <f>G16-H16</f>
        <v/>
      </c>
      <c r="J16" s="3">
        <f>IFERROR(I16/G16,0)</f>
        <v/>
      </c>
    </row>
    <row r="17">
      <c r="A17" t="n">
        <v>2025</v>
      </c>
      <c r="B17" t="inlineStr">
        <is>
          <t>Q1</t>
        </is>
      </c>
      <c r="C17" t="inlineStr">
        <is>
          <t>West</t>
        </is>
      </c>
      <c r="D17" t="inlineStr">
        <is>
          <t>Mouse</t>
        </is>
      </c>
      <c r="E17" t="n">
        <v>47</v>
      </c>
      <c r="F17" s="2" t="n">
        <v>1200</v>
      </c>
      <c r="G17" s="2" t="n">
        <v>56400</v>
      </c>
      <c r="H17" s="2" t="n">
        <v>45765.36</v>
      </c>
      <c r="I17" s="2">
        <f>G17-H17</f>
        <v/>
      </c>
      <c r="J17" s="3">
        <f>IFERROR(I17/G17,0)</f>
        <v/>
      </c>
    </row>
    <row r="18">
      <c r="A18" t="n">
        <v>2025</v>
      </c>
      <c r="B18" t="inlineStr">
        <is>
          <t>Q2</t>
        </is>
      </c>
      <c r="C18" t="inlineStr">
        <is>
          <t>North</t>
        </is>
      </c>
      <c r="D18" t="inlineStr">
        <is>
          <t>Laptop</t>
        </is>
      </c>
      <c r="E18" t="n">
        <v>63</v>
      </c>
      <c r="F18" s="2" t="n">
        <v>65000</v>
      </c>
      <c r="G18" s="2" t="n">
        <v>4095000</v>
      </c>
      <c r="H18" s="2" t="n">
        <v>2622610.22</v>
      </c>
      <c r="I18" s="2">
        <f>G18-H18</f>
        <v/>
      </c>
      <c r="J18" s="3">
        <f>IFERROR(I18/G18,0)</f>
        <v/>
      </c>
    </row>
    <row r="19">
      <c r="A19" t="n">
        <v>2025</v>
      </c>
      <c r="B19" t="inlineStr">
        <is>
          <t>Q2</t>
        </is>
      </c>
      <c r="C19" t="inlineStr">
        <is>
          <t>North</t>
        </is>
      </c>
      <c r="D19" t="inlineStr">
        <is>
          <t>Monitor</t>
        </is>
      </c>
      <c r="E19" t="n">
        <v>68</v>
      </c>
      <c r="F19" s="2" t="n">
        <v>18000</v>
      </c>
      <c r="G19" s="2" t="n">
        <v>1224000</v>
      </c>
      <c r="H19" s="2" t="n">
        <v>782556.17</v>
      </c>
      <c r="I19" s="2">
        <f>G19-H19</f>
        <v/>
      </c>
      <c r="J19" s="3">
        <f>IFERROR(I19/G19,0)</f>
        <v/>
      </c>
    </row>
    <row r="20">
      <c r="A20" t="n">
        <v>2025</v>
      </c>
      <c r="B20" t="inlineStr">
        <is>
          <t>Q2</t>
        </is>
      </c>
      <c r="C20" t="inlineStr">
        <is>
          <t>North</t>
        </is>
      </c>
      <c r="D20" t="inlineStr">
        <is>
          <t>Keyboard</t>
        </is>
      </c>
      <c r="E20" t="n">
        <v>64</v>
      </c>
      <c r="F20" s="2" t="n">
        <v>2500</v>
      </c>
      <c r="G20" s="2" t="n">
        <v>160000</v>
      </c>
      <c r="H20" s="2" t="n">
        <v>118519.23</v>
      </c>
      <c r="I20" s="2">
        <f>G20-H20</f>
        <v/>
      </c>
      <c r="J20" s="3">
        <f>IFERROR(I20/G20,0)</f>
        <v/>
      </c>
    </row>
    <row r="21">
      <c r="A21" t="n">
        <v>2025</v>
      </c>
      <c r="B21" t="inlineStr">
        <is>
          <t>Q2</t>
        </is>
      </c>
      <c r="C21" t="inlineStr">
        <is>
          <t>North</t>
        </is>
      </c>
      <c r="D21" t="inlineStr">
        <is>
          <t>Mouse</t>
        </is>
      </c>
      <c r="E21" t="n">
        <v>25</v>
      </c>
      <c r="F21" s="2" t="n">
        <v>1200</v>
      </c>
      <c r="G21" s="2" t="n">
        <v>30000</v>
      </c>
      <c r="H21" s="2" t="n">
        <v>22978.39</v>
      </c>
      <c r="I21" s="2">
        <f>G21-H21</f>
        <v/>
      </c>
      <c r="J21" s="3">
        <f>IFERROR(I21/G21,0)</f>
        <v/>
      </c>
    </row>
    <row r="22">
      <c r="A22" t="n">
        <v>2025</v>
      </c>
      <c r="B22" t="inlineStr">
        <is>
          <t>Q2</t>
        </is>
      </c>
      <c r="C22" t="inlineStr">
        <is>
          <t>South</t>
        </is>
      </c>
      <c r="D22" t="inlineStr">
        <is>
          <t>Laptop</t>
        </is>
      </c>
      <c r="E22" t="n">
        <v>88</v>
      </c>
      <c r="F22" s="2" t="n">
        <v>65000</v>
      </c>
      <c r="G22" s="2" t="n">
        <v>5720000</v>
      </c>
      <c r="H22" s="2" t="n">
        <v>3689201.13</v>
      </c>
      <c r="I22" s="2">
        <f>G22-H22</f>
        <v/>
      </c>
      <c r="J22" s="3">
        <f>IFERROR(I22/G22,0)</f>
        <v/>
      </c>
    </row>
    <row r="23">
      <c r="A23" t="n">
        <v>2025</v>
      </c>
      <c r="B23" t="inlineStr">
        <is>
          <t>Q2</t>
        </is>
      </c>
      <c r="C23" t="inlineStr">
        <is>
          <t>South</t>
        </is>
      </c>
      <c r="D23" t="inlineStr">
        <is>
          <t>Monitor</t>
        </is>
      </c>
      <c r="E23" t="n">
        <v>68</v>
      </c>
      <c r="F23" s="2" t="n">
        <v>18000</v>
      </c>
      <c r="G23" s="2" t="n">
        <v>1224000</v>
      </c>
      <c r="H23" s="2" t="n">
        <v>778170.29</v>
      </c>
      <c r="I23" s="2">
        <f>G23-H23</f>
        <v/>
      </c>
      <c r="J23" s="3">
        <f>IFERROR(I23/G23,0)</f>
        <v/>
      </c>
    </row>
    <row r="24">
      <c r="A24" t="n">
        <v>2025</v>
      </c>
      <c r="B24" t="inlineStr">
        <is>
          <t>Q2</t>
        </is>
      </c>
      <c r="C24" t="inlineStr">
        <is>
          <t>South</t>
        </is>
      </c>
      <c r="D24" t="inlineStr">
        <is>
          <t>Keyboard</t>
        </is>
      </c>
      <c r="E24" t="n">
        <v>57</v>
      </c>
      <c r="F24" s="2" t="n">
        <v>2500</v>
      </c>
      <c r="G24" s="2" t="n">
        <v>142500</v>
      </c>
      <c r="H24" s="2" t="n">
        <v>111988.03</v>
      </c>
      <c r="I24" s="2">
        <f>G24-H24</f>
        <v/>
      </c>
      <c r="J24" s="3">
        <f>IFERROR(I24/G24,0)</f>
        <v/>
      </c>
    </row>
    <row r="25">
      <c r="A25" t="n">
        <v>2025</v>
      </c>
      <c r="B25" t="inlineStr">
        <is>
          <t>Q2</t>
        </is>
      </c>
      <c r="C25" t="inlineStr">
        <is>
          <t>South</t>
        </is>
      </c>
      <c r="D25" t="inlineStr">
        <is>
          <t>Mouse</t>
        </is>
      </c>
      <c r="E25" t="n">
        <v>99</v>
      </c>
      <c r="F25" s="2" t="n">
        <v>1200</v>
      </c>
      <c r="G25" s="2" t="n">
        <v>118800</v>
      </c>
      <c r="H25" s="2" t="n">
        <v>94694.33</v>
      </c>
      <c r="I25" s="2">
        <f>G25-H25</f>
        <v/>
      </c>
      <c r="J25" s="3">
        <f>IFERROR(I25/G25,0)</f>
        <v/>
      </c>
    </row>
    <row r="26">
      <c r="A26" t="n">
        <v>2025</v>
      </c>
      <c r="B26" t="inlineStr">
        <is>
          <t>Q2</t>
        </is>
      </c>
      <c r="C26" t="inlineStr">
        <is>
          <t>East</t>
        </is>
      </c>
      <c r="D26" t="inlineStr">
        <is>
          <t>Laptop</t>
        </is>
      </c>
      <c r="E26" t="n">
        <v>66</v>
      </c>
      <c r="F26" s="2" t="n">
        <v>65000</v>
      </c>
      <c r="G26" s="2" t="n">
        <v>4290000</v>
      </c>
      <c r="H26" s="2" t="n">
        <v>3155168.14</v>
      </c>
      <c r="I26" s="2">
        <f>G26-H26</f>
        <v/>
      </c>
      <c r="J26" s="3">
        <f>IFERROR(I26/G26,0)</f>
        <v/>
      </c>
    </row>
    <row r="27">
      <c r="A27" t="n">
        <v>2025</v>
      </c>
      <c r="B27" t="inlineStr">
        <is>
          <t>Q2</t>
        </is>
      </c>
      <c r="C27" t="inlineStr">
        <is>
          <t>East</t>
        </is>
      </c>
      <c r="D27" t="inlineStr">
        <is>
          <t>Monitor</t>
        </is>
      </c>
      <c r="E27" t="n">
        <v>110</v>
      </c>
      <c r="F27" s="2" t="n">
        <v>18000</v>
      </c>
      <c r="G27" s="2" t="n">
        <v>1980000</v>
      </c>
      <c r="H27" s="2" t="n">
        <v>1255143.84</v>
      </c>
      <c r="I27" s="2">
        <f>G27-H27</f>
        <v/>
      </c>
      <c r="J27" s="3">
        <f>IFERROR(I27/G27,0)</f>
        <v/>
      </c>
    </row>
    <row r="28">
      <c r="A28" t="n">
        <v>2025</v>
      </c>
      <c r="B28" t="inlineStr">
        <is>
          <t>Q2</t>
        </is>
      </c>
      <c r="C28" t="inlineStr">
        <is>
          <t>East</t>
        </is>
      </c>
      <c r="D28" t="inlineStr">
        <is>
          <t>Keyboard</t>
        </is>
      </c>
      <c r="E28" t="n">
        <v>104</v>
      </c>
      <c r="F28" s="2" t="n">
        <v>2500</v>
      </c>
      <c r="G28" s="2" t="n">
        <v>260000</v>
      </c>
      <c r="H28" s="2" t="n">
        <v>173050.71</v>
      </c>
      <c r="I28" s="2">
        <f>G28-H28</f>
        <v/>
      </c>
      <c r="J28" s="3">
        <f>IFERROR(I28/G28,0)</f>
        <v/>
      </c>
    </row>
    <row r="29">
      <c r="A29" t="n">
        <v>2025</v>
      </c>
      <c r="B29" t="inlineStr">
        <is>
          <t>Q2</t>
        </is>
      </c>
      <c r="C29" t="inlineStr">
        <is>
          <t>East</t>
        </is>
      </c>
      <c r="D29" t="inlineStr">
        <is>
          <t>Mouse</t>
        </is>
      </c>
      <c r="E29" t="n">
        <v>57</v>
      </c>
      <c r="F29" s="2" t="n">
        <v>1200</v>
      </c>
      <c r="G29" s="2" t="n">
        <v>68400</v>
      </c>
      <c r="H29" s="2" t="n">
        <v>55885.83</v>
      </c>
      <c r="I29" s="2">
        <f>G29-H29</f>
        <v/>
      </c>
      <c r="J29" s="3">
        <f>IFERROR(I29/G29,0)</f>
        <v/>
      </c>
    </row>
    <row r="30">
      <c r="A30" t="n">
        <v>2025</v>
      </c>
      <c r="B30" t="inlineStr">
        <is>
          <t>Q2</t>
        </is>
      </c>
      <c r="C30" t="inlineStr">
        <is>
          <t>West</t>
        </is>
      </c>
      <c r="D30" t="inlineStr">
        <is>
          <t>Laptop</t>
        </is>
      </c>
      <c r="E30" t="n">
        <v>49</v>
      </c>
      <c r="F30" s="2" t="n">
        <v>65000</v>
      </c>
      <c r="G30" s="2" t="n">
        <v>3185000</v>
      </c>
      <c r="H30" s="2" t="n">
        <v>2526650.1</v>
      </c>
      <c r="I30" s="2">
        <f>G30-H30</f>
        <v/>
      </c>
      <c r="J30" s="3">
        <f>IFERROR(I30/G30,0)</f>
        <v/>
      </c>
    </row>
    <row r="31">
      <c r="A31" t="n">
        <v>2025</v>
      </c>
      <c r="B31" t="inlineStr">
        <is>
          <t>Q2</t>
        </is>
      </c>
      <c r="C31" t="inlineStr">
        <is>
          <t>West</t>
        </is>
      </c>
      <c r="D31" t="inlineStr">
        <is>
          <t>Monitor</t>
        </is>
      </c>
      <c r="E31" t="n">
        <v>68</v>
      </c>
      <c r="F31" s="2" t="n">
        <v>18000</v>
      </c>
      <c r="G31" s="2" t="n">
        <v>1224000</v>
      </c>
      <c r="H31" s="2" t="n">
        <v>826927.9399999999</v>
      </c>
      <c r="I31" s="2">
        <f>G31-H31</f>
        <v/>
      </c>
      <c r="J31" s="3">
        <f>IFERROR(I31/G31,0)</f>
        <v/>
      </c>
    </row>
    <row r="32">
      <c r="A32" t="n">
        <v>2025</v>
      </c>
      <c r="B32" t="inlineStr">
        <is>
          <t>Q2</t>
        </is>
      </c>
      <c r="C32" t="inlineStr">
        <is>
          <t>West</t>
        </is>
      </c>
      <c r="D32" t="inlineStr">
        <is>
          <t>Keyboard</t>
        </is>
      </c>
      <c r="E32" t="n">
        <v>101</v>
      </c>
      <c r="F32" s="2" t="n">
        <v>2500</v>
      </c>
      <c r="G32" s="2" t="n">
        <v>252500</v>
      </c>
      <c r="H32" s="2" t="n">
        <v>198672.58</v>
      </c>
      <c r="I32" s="2">
        <f>G32-H32</f>
        <v/>
      </c>
      <c r="J32" s="3">
        <f>IFERROR(I32/G32,0)</f>
        <v/>
      </c>
    </row>
    <row r="33">
      <c r="A33" t="n">
        <v>2025</v>
      </c>
      <c r="B33" t="inlineStr">
        <is>
          <t>Q2</t>
        </is>
      </c>
      <c r="C33" t="inlineStr">
        <is>
          <t>West</t>
        </is>
      </c>
      <c r="D33" t="inlineStr">
        <is>
          <t>Mouse</t>
        </is>
      </c>
      <c r="E33" t="n">
        <v>40</v>
      </c>
      <c r="F33" s="2" t="n">
        <v>1200</v>
      </c>
      <c r="G33" s="2" t="n">
        <v>48000</v>
      </c>
      <c r="H33" s="2" t="n">
        <v>33313.74</v>
      </c>
      <c r="I33" s="2">
        <f>G33-H33</f>
        <v/>
      </c>
      <c r="J33" s="3">
        <f>IFERROR(I33/G33,0)</f>
        <v/>
      </c>
    </row>
    <row r="34">
      <c r="A34" t="n">
        <v>2025</v>
      </c>
      <c r="B34" t="inlineStr">
        <is>
          <t>Q3</t>
        </is>
      </c>
      <c r="C34" t="inlineStr">
        <is>
          <t>North</t>
        </is>
      </c>
      <c r="D34" t="inlineStr">
        <is>
          <t>Laptop</t>
        </is>
      </c>
      <c r="E34" t="n">
        <v>46</v>
      </c>
      <c r="F34" s="2" t="n">
        <v>65000</v>
      </c>
      <c r="G34" s="2" t="n">
        <v>2990000</v>
      </c>
      <c r="H34" s="2" t="n">
        <v>2254564.75</v>
      </c>
      <c r="I34" s="2">
        <f>G34-H34</f>
        <v/>
      </c>
      <c r="J34" s="3">
        <f>IFERROR(I34/G34,0)</f>
        <v/>
      </c>
    </row>
    <row r="35">
      <c r="A35" t="n">
        <v>2025</v>
      </c>
      <c r="B35" t="inlineStr">
        <is>
          <t>Q3</t>
        </is>
      </c>
      <c r="C35" t="inlineStr">
        <is>
          <t>North</t>
        </is>
      </c>
      <c r="D35" t="inlineStr">
        <is>
          <t>Monitor</t>
        </is>
      </c>
      <c r="E35" t="n">
        <v>109</v>
      </c>
      <c r="F35" s="2" t="n">
        <v>18000</v>
      </c>
      <c r="G35" s="2" t="n">
        <v>1962000</v>
      </c>
      <c r="H35" s="2" t="n">
        <v>1583983.26</v>
      </c>
      <c r="I35" s="2">
        <f>G35-H35</f>
        <v/>
      </c>
      <c r="J35" s="3">
        <f>IFERROR(I35/G35,0)</f>
        <v/>
      </c>
    </row>
    <row r="36">
      <c r="A36" t="n">
        <v>2025</v>
      </c>
      <c r="B36" t="inlineStr">
        <is>
          <t>Q3</t>
        </is>
      </c>
      <c r="C36" t="inlineStr">
        <is>
          <t>North</t>
        </is>
      </c>
      <c r="D36" t="inlineStr">
        <is>
          <t>Keyboard</t>
        </is>
      </c>
      <c r="E36" t="n">
        <v>102</v>
      </c>
      <c r="F36" s="2" t="n">
        <v>2500</v>
      </c>
      <c r="G36" s="2" t="n">
        <v>255000</v>
      </c>
      <c r="H36" s="2" t="n">
        <v>161741.53</v>
      </c>
      <c r="I36" s="2">
        <f>G36-H36</f>
        <v/>
      </c>
      <c r="J36" s="3">
        <f>IFERROR(I36/G36,0)</f>
        <v/>
      </c>
    </row>
    <row r="37">
      <c r="A37" t="n">
        <v>2025</v>
      </c>
      <c r="B37" t="inlineStr">
        <is>
          <t>Q3</t>
        </is>
      </c>
      <c r="C37" t="inlineStr">
        <is>
          <t>North</t>
        </is>
      </c>
      <c r="D37" t="inlineStr">
        <is>
          <t>Mouse</t>
        </is>
      </c>
      <c r="E37" t="n">
        <v>101</v>
      </c>
      <c r="F37" s="2" t="n">
        <v>1200</v>
      </c>
      <c r="G37" s="2" t="n">
        <v>121200</v>
      </c>
      <c r="H37" s="2" t="n">
        <v>79292.39999999999</v>
      </c>
      <c r="I37" s="2">
        <f>G37-H37</f>
        <v/>
      </c>
      <c r="J37" s="3">
        <f>IFERROR(I37/G37,0)</f>
        <v/>
      </c>
    </row>
    <row r="38">
      <c r="A38" t="n">
        <v>2025</v>
      </c>
      <c r="B38" t="inlineStr">
        <is>
          <t>Q3</t>
        </is>
      </c>
      <c r="C38" t="inlineStr">
        <is>
          <t>South</t>
        </is>
      </c>
      <c r="D38" t="inlineStr">
        <is>
          <t>Laptop</t>
        </is>
      </c>
      <c r="E38" t="n">
        <v>113</v>
      </c>
      <c r="F38" s="2" t="n">
        <v>65000</v>
      </c>
      <c r="G38" s="2" t="n">
        <v>7345000</v>
      </c>
      <c r="H38" s="2" t="n">
        <v>4913527.25</v>
      </c>
      <c r="I38" s="2">
        <f>G38-H38</f>
        <v/>
      </c>
      <c r="J38" s="3">
        <f>IFERROR(I38/G38,0)</f>
        <v/>
      </c>
    </row>
    <row r="39">
      <c r="A39" t="n">
        <v>2025</v>
      </c>
      <c r="B39" t="inlineStr">
        <is>
          <t>Q3</t>
        </is>
      </c>
      <c r="C39" t="inlineStr">
        <is>
          <t>South</t>
        </is>
      </c>
      <c r="D39" t="inlineStr">
        <is>
          <t>Monitor</t>
        </is>
      </c>
      <c r="E39" t="n">
        <v>79</v>
      </c>
      <c r="F39" s="2" t="n">
        <v>18000</v>
      </c>
      <c r="G39" s="2" t="n">
        <v>1422000</v>
      </c>
      <c r="H39" s="2" t="n">
        <v>989557.13</v>
      </c>
      <c r="I39" s="2">
        <f>G39-H39</f>
        <v/>
      </c>
      <c r="J39" s="3">
        <f>IFERROR(I39/G39,0)</f>
        <v/>
      </c>
    </row>
    <row r="40">
      <c r="A40" t="n">
        <v>2025</v>
      </c>
      <c r="B40" t="inlineStr">
        <is>
          <t>Q3</t>
        </is>
      </c>
      <c r="C40" t="inlineStr">
        <is>
          <t>South</t>
        </is>
      </c>
      <c r="D40" t="inlineStr">
        <is>
          <t>Keyboard</t>
        </is>
      </c>
      <c r="E40" t="n">
        <v>101</v>
      </c>
      <c r="F40" s="2" t="n">
        <v>2500</v>
      </c>
      <c r="G40" s="2" t="n">
        <v>252500</v>
      </c>
      <c r="H40" s="2" t="n">
        <v>191302.18</v>
      </c>
      <c r="I40" s="2">
        <f>G40-H40</f>
        <v/>
      </c>
      <c r="J40" s="3">
        <f>IFERROR(I40/G40,0)</f>
        <v/>
      </c>
    </row>
    <row r="41">
      <c r="A41" t="n">
        <v>2025</v>
      </c>
      <c r="B41" t="inlineStr">
        <is>
          <t>Q3</t>
        </is>
      </c>
      <c r="C41" t="inlineStr">
        <is>
          <t>South</t>
        </is>
      </c>
      <c r="D41" t="inlineStr">
        <is>
          <t>Mouse</t>
        </is>
      </c>
      <c r="E41" t="n">
        <v>48</v>
      </c>
      <c r="F41" s="2" t="n">
        <v>1200</v>
      </c>
      <c r="G41" s="2" t="n">
        <v>57600</v>
      </c>
      <c r="H41" s="2" t="n">
        <v>43598.76</v>
      </c>
      <c r="I41" s="2">
        <f>G41-H41</f>
        <v/>
      </c>
      <c r="J41" s="3">
        <f>IFERROR(I41/G41,0)</f>
        <v/>
      </c>
    </row>
    <row r="42">
      <c r="A42" t="n">
        <v>2025</v>
      </c>
      <c r="B42" t="inlineStr">
        <is>
          <t>Q3</t>
        </is>
      </c>
      <c r="C42" t="inlineStr">
        <is>
          <t>East</t>
        </is>
      </c>
      <c r="D42" t="inlineStr">
        <is>
          <t>Laptop</t>
        </is>
      </c>
      <c r="E42" t="n">
        <v>118</v>
      </c>
      <c r="F42" s="2" t="n">
        <v>65000</v>
      </c>
      <c r="G42" s="2" t="n">
        <v>7670000</v>
      </c>
      <c r="H42" s="2" t="n">
        <v>5945783.86</v>
      </c>
      <c r="I42" s="2">
        <f>G42-H42</f>
        <v/>
      </c>
      <c r="J42" s="3">
        <f>IFERROR(I42/G42,0)</f>
        <v/>
      </c>
    </row>
    <row r="43">
      <c r="A43" t="n">
        <v>2025</v>
      </c>
      <c r="B43" t="inlineStr">
        <is>
          <t>Q3</t>
        </is>
      </c>
      <c r="C43" t="inlineStr">
        <is>
          <t>East</t>
        </is>
      </c>
      <c r="D43" t="inlineStr">
        <is>
          <t>Monitor</t>
        </is>
      </c>
      <c r="E43" t="n">
        <v>49</v>
      </c>
      <c r="F43" s="2" t="n">
        <v>18000</v>
      </c>
      <c r="G43" s="2" t="n">
        <v>882000</v>
      </c>
      <c r="H43" s="2" t="n">
        <v>691805.98</v>
      </c>
      <c r="I43" s="2">
        <f>G43-H43</f>
        <v/>
      </c>
      <c r="J43" s="3">
        <f>IFERROR(I43/G43,0)</f>
        <v/>
      </c>
    </row>
    <row r="44">
      <c r="A44" t="n">
        <v>2025</v>
      </c>
      <c r="B44" t="inlineStr">
        <is>
          <t>Q3</t>
        </is>
      </c>
      <c r="C44" t="inlineStr">
        <is>
          <t>East</t>
        </is>
      </c>
      <c r="D44" t="inlineStr">
        <is>
          <t>Keyboard</t>
        </is>
      </c>
      <c r="E44" t="n">
        <v>60</v>
      </c>
      <c r="F44" s="2" t="n">
        <v>2500</v>
      </c>
      <c r="G44" s="2" t="n">
        <v>150000</v>
      </c>
      <c r="H44" s="2" t="n">
        <v>105034.94</v>
      </c>
      <c r="I44" s="2">
        <f>G44-H44</f>
        <v/>
      </c>
      <c r="J44" s="3">
        <f>IFERROR(I44/G44,0)</f>
        <v/>
      </c>
    </row>
    <row r="45">
      <c r="A45" t="n">
        <v>2025</v>
      </c>
      <c r="B45" t="inlineStr">
        <is>
          <t>Q3</t>
        </is>
      </c>
      <c r="C45" t="inlineStr">
        <is>
          <t>East</t>
        </is>
      </c>
      <c r="D45" t="inlineStr">
        <is>
          <t>Mouse</t>
        </is>
      </c>
      <c r="E45" t="n">
        <v>28</v>
      </c>
      <c r="F45" s="2" t="n">
        <v>1200</v>
      </c>
      <c r="G45" s="2" t="n">
        <v>33600</v>
      </c>
      <c r="H45" s="2" t="n">
        <v>22249.8</v>
      </c>
      <c r="I45" s="2">
        <f>G45-H45</f>
        <v/>
      </c>
      <c r="J45" s="3">
        <f>IFERROR(I45/G45,0)</f>
        <v/>
      </c>
    </row>
    <row r="46">
      <c r="A46" t="n">
        <v>2025</v>
      </c>
      <c r="B46" t="inlineStr">
        <is>
          <t>Q3</t>
        </is>
      </c>
      <c r="C46" t="inlineStr">
        <is>
          <t>West</t>
        </is>
      </c>
      <c r="D46" t="inlineStr">
        <is>
          <t>Laptop</t>
        </is>
      </c>
      <c r="E46" t="n">
        <v>92</v>
      </c>
      <c r="F46" s="2" t="n">
        <v>65000</v>
      </c>
      <c r="G46" s="2" t="n">
        <v>5980000</v>
      </c>
      <c r="H46" s="2" t="n">
        <v>4755735.68</v>
      </c>
      <c r="I46" s="2">
        <f>G46-H46</f>
        <v/>
      </c>
      <c r="J46" s="3">
        <f>IFERROR(I46/G46,0)</f>
        <v/>
      </c>
    </row>
    <row r="47">
      <c r="A47" t="n">
        <v>2025</v>
      </c>
      <c r="B47" t="inlineStr">
        <is>
          <t>Q3</t>
        </is>
      </c>
      <c r="C47" t="inlineStr">
        <is>
          <t>West</t>
        </is>
      </c>
      <c r="D47" t="inlineStr">
        <is>
          <t>Monitor</t>
        </is>
      </c>
      <c r="E47" t="n">
        <v>60</v>
      </c>
      <c r="F47" s="2" t="n">
        <v>18000</v>
      </c>
      <c r="G47" s="2" t="n">
        <v>1080000</v>
      </c>
      <c r="H47" s="2" t="n">
        <v>715527.33</v>
      </c>
      <c r="I47" s="2">
        <f>G47-H47</f>
        <v/>
      </c>
      <c r="J47" s="3">
        <f>IFERROR(I47/G47,0)</f>
        <v/>
      </c>
    </row>
    <row r="48">
      <c r="A48" t="n">
        <v>2025</v>
      </c>
      <c r="B48" t="inlineStr">
        <is>
          <t>Q3</t>
        </is>
      </c>
      <c r="C48" t="inlineStr">
        <is>
          <t>West</t>
        </is>
      </c>
      <c r="D48" t="inlineStr">
        <is>
          <t>Keyboard</t>
        </is>
      </c>
      <c r="E48" t="n">
        <v>83</v>
      </c>
      <c r="F48" s="2" t="n">
        <v>2500</v>
      </c>
      <c r="G48" s="2" t="n">
        <v>207500</v>
      </c>
      <c r="H48" s="2" t="n">
        <v>145068.72</v>
      </c>
      <c r="I48" s="2">
        <f>G48-H48</f>
        <v/>
      </c>
      <c r="J48" s="3">
        <f>IFERROR(I48/G48,0)</f>
        <v/>
      </c>
    </row>
    <row r="49">
      <c r="A49" t="n">
        <v>2025</v>
      </c>
      <c r="B49" t="inlineStr">
        <is>
          <t>Q3</t>
        </is>
      </c>
      <c r="C49" t="inlineStr">
        <is>
          <t>West</t>
        </is>
      </c>
      <c r="D49" t="inlineStr">
        <is>
          <t>Mouse</t>
        </is>
      </c>
      <c r="E49" t="n">
        <v>102</v>
      </c>
      <c r="F49" s="2" t="n">
        <v>1200</v>
      </c>
      <c r="G49" s="2" t="n">
        <v>122400</v>
      </c>
      <c r="H49" s="2" t="n">
        <v>87120.69</v>
      </c>
      <c r="I49" s="2">
        <f>G49-H49</f>
        <v/>
      </c>
      <c r="J49" s="3">
        <f>IFERROR(I49/G49,0)</f>
        <v/>
      </c>
    </row>
    <row r="50">
      <c r="A50" t="n">
        <v>2025</v>
      </c>
      <c r="B50" t="inlineStr">
        <is>
          <t>Q4</t>
        </is>
      </c>
      <c r="C50" t="inlineStr">
        <is>
          <t>North</t>
        </is>
      </c>
      <c r="D50" t="inlineStr">
        <is>
          <t>Laptop</t>
        </is>
      </c>
      <c r="E50" t="n">
        <v>53</v>
      </c>
      <c r="F50" s="2" t="n">
        <v>65000</v>
      </c>
      <c r="G50" s="2" t="n">
        <v>3445000</v>
      </c>
      <c r="H50" s="2" t="n">
        <v>2232105.29</v>
      </c>
      <c r="I50" s="2">
        <f>G50-H50</f>
        <v/>
      </c>
      <c r="J50" s="3">
        <f>IFERROR(I50/G50,0)</f>
        <v/>
      </c>
    </row>
    <row r="51">
      <c r="A51" t="n">
        <v>2025</v>
      </c>
      <c r="B51" t="inlineStr">
        <is>
          <t>Q4</t>
        </is>
      </c>
      <c r="C51" t="inlineStr">
        <is>
          <t>North</t>
        </is>
      </c>
      <c r="D51" t="inlineStr">
        <is>
          <t>Monitor</t>
        </is>
      </c>
      <c r="E51" t="n">
        <v>115</v>
      </c>
      <c r="F51" s="2" t="n">
        <v>18000</v>
      </c>
      <c r="G51" s="2" t="n">
        <v>2070000</v>
      </c>
      <c r="H51" s="2" t="n">
        <v>1515806.41</v>
      </c>
      <c r="I51" s="2">
        <f>G51-H51</f>
        <v/>
      </c>
      <c r="J51" s="3">
        <f>IFERROR(I51/G51,0)</f>
        <v/>
      </c>
    </row>
    <row r="52">
      <c r="A52" t="n">
        <v>2025</v>
      </c>
      <c r="B52" t="inlineStr">
        <is>
          <t>Q4</t>
        </is>
      </c>
      <c r="C52" t="inlineStr">
        <is>
          <t>North</t>
        </is>
      </c>
      <c r="D52" t="inlineStr">
        <is>
          <t>Keyboard</t>
        </is>
      </c>
      <c r="E52" t="n">
        <v>53</v>
      </c>
      <c r="F52" s="2" t="n">
        <v>2500</v>
      </c>
      <c r="G52" s="2" t="n">
        <v>132500</v>
      </c>
      <c r="H52" s="2" t="n">
        <v>101945.87</v>
      </c>
      <c r="I52" s="2">
        <f>G52-H52</f>
        <v/>
      </c>
      <c r="J52" s="3">
        <f>IFERROR(I52/G52,0)</f>
        <v/>
      </c>
    </row>
    <row r="53">
      <c r="A53" t="n">
        <v>2025</v>
      </c>
      <c r="B53" t="inlineStr">
        <is>
          <t>Q4</t>
        </is>
      </c>
      <c r="C53" t="inlineStr">
        <is>
          <t>North</t>
        </is>
      </c>
      <c r="D53" t="inlineStr">
        <is>
          <t>Mouse</t>
        </is>
      </c>
      <c r="E53" t="n">
        <v>74</v>
      </c>
      <c r="F53" s="2" t="n">
        <v>1200</v>
      </c>
      <c r="G53" s="2" t="n">
        <v>88800</v>
      </c>
      <c r="H53" s="2" t="n">
        <v>71001.33</v>
      </c>
      <c r="I53" s="2">
        <f>G53-H53</f>
        <v/>
      </c>
      <c r="J53" s="3">
        <f>IFERROR(I53/G53,0)</f>
        <v/>
      </c>
    </row>
    <row r="54">
      <c r="A54" t="n">
        <v>2025</v>
      </c>
      <c r="B54" t="inlineStr">
        <is>
          <t>Q4</t>
        </is>
      </c>
      <c r="C54" t="inlineStr">
        <is>
          <t>South</t>
        </is>
      </c>
      <c r="D54" t="inlineStr">
        <is>
          <t>Laptop</t>
        </is>
      </c>
      <c r="E54" t="n">
        <v>71</v>
      </c>
      <c r="F54" s="2" t="n">
        <v>65000</v>
      </c>
      <c r="G54" s="2" t="n">
        <v>4615000</v>
      </c>
      <c r="H54" s="2" t="n">
        <v>3195422.72</v>
      </c>
      <c r="I54" s="2">
        <f>G54-H54</f>
        <v/>
      </c>
      <c r="J54" s="3">
        <f>IFERROR(I54/G54,0)</f>
        <v/>
      </c>
    </row>
    <row r="55">
      <c r="A55" t="n">
        <v>2025</v>
      </c>
      <c r="B55" t="inlineStr">
        <is>
          <t>Q4</t>
        </is>
      </c>
      <c r="C55" t="inlineStr">
        <is>
          <t>South</t>
        </is>
      </c>
      <c r="D55" t="inlineStr">
        <is>
          <t>Monitor</t>
        </is>
      </c>
      <c r="E55" t="n">
        <v>37</v>
      </c>
      <c r="F55" s="2" t="n">
        <v>18000</v>
      </c>
      <c r="G55" s="2" t="n">
        <v>666000</v>
      </c>
      <c r="H55" s="2" t="n">
        <v>480788.9</v>
      </c>
      <c r="I55" s="2">
        <f>G55-H55</f>
        <v/>
      </c>
      <c r="J55" s="3">
        <f>IFERROR(I55/G55,0)</f>
        <v/>
      </c>
    </row>
    <row r="56">
      <c r="A56" t="n">
        <v>2025</v>
      </c>
      <c r="B56" t="inlineStr">
        <is>
          <t>Q4</t>
        </is>
      </c>
      <c r="C56" t="inlineStr">
        <is>
          <t>South</t>
        </is>
      </c>
      <c r="D56" t="inlineStr">
        <is>
          <t>Keyboard</t>
        </is>
      </c>
      <c r="E56" t="n">
        <v>31</v>
      </c>
      <c r="F56" s="2" t="n">
        <v>2500</v>
      </c>
      <c r="G56" s="2" t="n">
        <v>77500</v>
      </c>
      <c r="H56" s="2" t="n">
        <v>59764.62</v>
      </c>
      <c r="I56" s="2">
        <f>G56-H56</f>
        <v/>
      </c>
      <c r="J56" s="3">
        <f>IFERROR(I56/G56,0)</f>
        <v/>
      </c>
    </row>
    <row r="57">
      <c r="A57" t="n">
        <v>2025</v>
      </c>
      <c r="B57" t="inlineStr">
        <is>
          <t>Q4</t>
        </is>
      </c>
      <c r="C57" t="inlineStr">
        <is>
          <t>South</t>
        </is>
      </c>
      <c r="D57" t="inlineStr">
        <is>
          <t>Mouse</t>
        </is>
      </c>
      <c r="E57" t="n">
        <v>34</v>
      </c>
      <c r="F57" s="2" t="n">
        <v>1200</v>
      </c>
      <c r="G57" s="2" t="n">
        <v>40800</v>
      </c>
      <c r="H57" s="2" t="n">
        <v>26543.19</v>
      </c>
      <c r="I57" s="2">
        <f>G57-H57</f>
        <v/>
      </c>
      <c r="J57" s="3">
        <f>IFERROR(I57/G57,0)</f>
        <v/>
      </c>
    </row>
    <row r="58">
      <c r="A58" t="n">
        <v>2025</v>
      </c>
      <c r="B58" t="inlineStr">
        <is>
          <t>Q4</t>
        </is>
      </c>
      <c r="C58" t="inlineStr">
        <is>
          <t>East</t>
        </is>
      </c>
      <c r="D58" t="inlineStr">
        <is>
          <t>Laptop</t>
        </is>
      </c>
      <c r="E58" t="n">
        <v>40</v>
      </c>
      <c r="F58" s="2" t="n">
        <v>65000</v>
      </c>
      <c r="G58" s="2" t="n">
        <v>2600000</v>
      </c>
      <c r="H58" s="2" t="n">
        <v>2023881.27</v>
      </c>
      <c r="I58" s="2">
        <f>G58-H58</f>
        <v/>
      </c>
      <c r="J58" s="3">
        <f>IFERROR(I58/G58,0)</f>
        <v/>
      </c>
    </row>
    <row r="59">
      <c r="A59" t="n">
        <v>2025</v>
      </c>
      <c r="B59" t="inlineStr">
        <is>
          <t>Q4</t>
        </is>
      </c>
      <c r="C59" t="inlineStr">
        <is>
          <t>East</t>
        </is>
      </c>
      <c r="D59" t="inlineStr">
        <is>
          <t>Monitor</t>
        </is>
      </c>
      <c r="E59" t="n">
        <v>74</v>
      </c>
      <c r="F59" s="2" t="n">
        <v>18000</v>
      </c>
      <c r="G59" s="2" t="n">
        <v>1332000</v>
      </c>
      <c r="H59" s="2" t="n">
        <v>984723.37</v>
      </c>
      <c r="I59" s="2">
        <f>G59-H59</f>
        <v/>
      </c>
      <c r="J59" s="3">
        <f>IFERROR(I59/G59,0)</f>
        <v/>
      </c>
    </row>
    <row r="60">
      <c r="A60" t="n">
        <v>2025</v>
      </c>
      <c r="B60" t="inlineStr">
        <is>
          <t>Q4</t>
        </is>
      </c>
      <c r="C60" t="inlineStr">
        <is>
          <t>East</t>
        </is>
      </c>
      <c r="D60" t="inlineStr">
        <is>
          <t>Keyboard</t>
        </is>
      </c>
      <c r="E60" t="n">
        <v>69</v>
      </c>
      <c r="F60" s="2" t="n">
        <v>2500</v>
      </c>
      <c r="G60" s="2" t="n">
        <v>172500</v>
      </c>
      <c r="H60" s="2" t="n">
        <v>120115.87</v>
      </c>
      <c r="I60" s="2">
        <f>G60-H60</f>
        <v/>
      </c>
      <c r="J60" s="3">
        <f>IFERROR(I60/G60,0)</f>
        <v/>
      </c>
    </row>
    <row r="61">
      <c r="A61" t="n">
        <v>2025</v>
      </c>
      <c r="B61" t="inlineStr">
        <is>
          <t>Q4</t>
        </is>
      </c>
      <c r="C61" t="inlineStr">
        <is>
          <t>East</t>
        </is>
      </c>
      <c r="D61" t="inlineStr">
        <is>
          <t>Mouse</t>
        </is>
      </c>
      <c r="E61" t="n">
        <v>79</v>
      </c>
      <c r="F61" s="2" t="n">
        <v>1200</v>
      </c>
      <c r="G61" s="2" t="n">
        <v>94800</v>
      </c>
      <c r="H61" s="2" t="n">
        <v>68808.00999999999</v>
      </c>
      <c r="I61" s="2">
        <f>G61-H61</f>
        <v/>
      </c>
      <c r="J61" s="3">
        <f>IFERROR(I61/G61,0)</f>
        <v/>
      </c>
    </row>
    <row r="62">
      <c r="A62" t="n">
        <v>2025</v>
      </c>
      <c r="B62" t="inlineStr">
        <is>
          <t>Q4</t>
        </is>
      </c>
      <c r="C62" t="inlineStr">
        <is>
          <t>West</t>
        </is>
      </c>
      <c r="D62" t="inlineStr">
        <is>
          <t>Laptop</t>
        </is>
      </c>
      <c r="E62" t="n">
        <v>90</v>
      </c>
      <c r="F62" s="2" t="n">
        <v>65000</v>
      </c>
      <c r="G62" s="2" t="n">
        <v>5850000</v>
      </c>
      <c r="H62" s="2" t="n">
        <v>4634112.25</v>
      </c>
      <c r="I62" s="2">
        <f>G62-H62</f>
        <v/>
      </c>
      <c r="J62" s="3">
        <f>IFERROR(I62/G62,0)</f>
        <v/>
      </c>
    </row>
    <row r="63">
      <c r="A63" t="n">
        <v>2025</v>
      </c>
      <c r="B63" t="inlineStr">
        <is>
          <t>Q4</t>
        </is>
      </c>
      <c r="C63" t="inlineStr">
        <is>
          <t>West</t>
        </is>
      </c>
      <c r="D63" t="inlineStr">
        <is>
          <t>Monitor</t>
        </is>
      </c>
      <c r="E63" t="n">
        <v>21</v>
      </c>
      <c r="F63" s="2" t="n">
        <v>18000</v>
      </c>
      <c r="G63" s="2" t="n">
        <v>378000</v>
      </c>
      <c r="H63" s="2" t="n">
        <v>285789.43</v>
      </c>
      <c r="I63" s="2">
        <f>G63-H63</f>
        <v/>
      </c>
      <c r="J63" s="3">
        <f>IFERROR(I63/G63,0)</f>
        <v/>
      </c>
    </row>
    <row r="64">
      <c r="A64" t="n">
        <v>2025</v>
      </c>
      <c r="B64" t="inlineStr">
        <is>
          <t>Q4</t>
        </is>
      </c>
      <c r="C64" t="inlineStr">
        <is>
          <t>West</t>
        </is>
      </c>
      <c r="D64" t="inlineStr">
        <is>
          <t>Keyboard</t>
        </is>
      </c>
      <c r="E64" t="n">
        <v>34</v>
      </c>
      <c r="F64" s="2" t="n">
        <v>2500</v>
      </c>
      <c r="G64" s="2" t="n">
        <v>85000</v>
      </c>
      <c r="H64" s="2" t="n">
        <v>64289.08</v>
      </c>
      <c r="I64" s="2">
        <f>G64-H64</f>
        <v/>
      </c>
      <c r="J64" s="3">
        <f>IFERROR(I64/G64,0)</f>
        <v/>
      </c>
    </row>
    <row r="65">
      <c r="A65" t="n">
        <v>2025</v>
      </c>
      <c r="B65" t="inlineStr">
        <is>
          <t>Q4</t>
        </is>
      </c>
      <c r="C65" t="inlineStr">
        <is>
          <t>West</t>
        </is>
      </c>
      <c r="D65" t="inlineStr">
        <is>
          <t>Mouse</t>
        </is>
      </c>
      <c r="E65" t="n">
        <v>88</v>
      </c>
      <c r="F65" s="2" t="n">
        <v>1200</v>
      </c>
      <c r="G65" s="2" t="n">
        <v>105600</v>
      </c>
      <c r="H65" s="2" t="n">
        <v>81330.53999999999</v>
      </c>
      <c r="I65" s="2">
        <f>G65-H65</f>
        <v/>
      </c>
      <c r="J65" s="3">
        <f>IFERROR(I65/G65,0)</f>
        <v/>
      </c>
    </row>
    <row r="66">
      <c r="A66" t="n">
        <v>2026</v>
      </c>
      <c r="B66" t="inlineStr">
        <is>
          <t>Q1</t>
        </is>
      </c>
      <c r="C66" t="inlineStr">
        <is>
          <t>North</t>
        </is>
      </c>
      <c r="D66" t="inlineStr">
        <is>
          <t>Laptop</t>
        </is>
      </c>
      <c r="E66" t="n">
        <v>118</v>
      </c>
      <c r="F66" s="2" t="n">
        <v>65000</v>
      </c>
      <c r="G66" s="2" t="n">
        <v>7670000</v>
      </c>
      <c r="H66" s="2" t="n">
        <v>5738635.4</v>
      </c>
      <c r="I66" s="2">
        <f>G66-H66</f>
        <v/>
      </c>
      <c r="J66" s="3">
        <f>IFERROR(I66/G66,0)</f>
        <v/>
      </c>
    </row>
    <row r="67">
      <c r="A67" t="n">
        <v>2026</v>
      </c>
      <c r="B67" t="inlineStr">
        <is>
          <t>Q1</t>
        </is>
      </c>
      <c r="C67" t="inlineStr">
        <is>
          <t>North</t>
        </is>
      </c>
      <c r="D67" t="inlineStr">
        <is>
          <t>Monitor</t>
        </is>
      </c>
      <c r="E67" t="n">
        <v>34</v>
      </c>
      <c r="F67" s="2" t="n">
        <v>18000</v>
      </c>
      <c r="G67" s="2" t="n">
        <v>612000</v>
      </c>
      <c r="H67" s="2" t="n">
        <v>415364.42</v>
      </c>
      <c r="I67" s="2">
        <f>G67-H67</f>
        <v/>
      </c>
      <c r="J67" s="3">
        <f>IFERROR(I67/G67,0)</f>
        <v/>
      </c>
    </row>
    <row r="68">
      <c r="A68" t="n">
        <v>2026</v>
      </c>
      <c r="B68" t="inlineStr">
        <is>
          <t>Q1</t>
        </is>
      </c>
      <c r="C68" t="inlineStr">
        <is>
          <t>North</t>
        </is>
      </c>
      <c r="D68" t="inlineStr">
        <is>
          <t>Keyboard</t>
        </is>
      </c>
      <c r="E68" t="n">
        <v>40</v>
      </c>
      <c r="F68" s="2" t="n">
        <v>2500</v>
      </c>
      <c r="G68" s="2" t="n">
        <v>100000</v>
      </c>
      <c r="H68" s="2" t="n">
        <v>71074.47</v>
      </c>
      <c r="I68" s="2">
        <f>G68-H68</f>
        <v/>
      </c>
      <c r="J68" s="3">
        <f>IFERROR(I68/G68,0)</f>
        <v/>
      </c>
    </row>
    <row r="69">
      <c r="A69" t="n">
        <v>2026</v>
      </c>
      <c r="B69" t="inlineStr">
        <is>
          <t>Q1</t>
        </is>
      </c>
      <c r="C69" t="inlineStr">
        <is>
          <t>North</t>
        </is>
      </c>
      <c r="D69" t="inlineStr">
        <is>
          <t>Mouse</t>
        </is>
      </c>
      <c r="E69" t="n">
        <v>112</v>
      </c>
      <c r="F69" s="2" t="n">
        <v>1200</v>
      </c>
      <c r="G69" s="2" t="n">
        <v>134400</v>
      </c>
      <c r="H69" s="2" t="n">
        <v>106870.93</v>
      </c>
      <c r="I69" s="2">
        <f>G69-H69</f>
        <v/>
      </c>
      <c r="J69" s="3">
        <f>IFERROR(I69/G69,0)</f>
        <v/>
      </c>
    </row>
    <row r="70">
      <c r="A70" t="n">
        <v>2026</v>
      </c>
      <c r="B70" t="inlineStr">
        <is>
          <t>Q1</t>
        </is>
      </c>
      <c r="C70" t="inlineStr">
        <is>
          <t>South</t>
        </is>
      </c>
      <c r="D70" t="inlineStr">
        <is>
          <t>Laptop</t>
        </is>
      </c>
      <c r="E70" t="n">
        <v>53</v>
      </c>
      <c r="F70" s="2" t="n">
        <v>65000</v>
      </c>
      <c r="G70" s="2" t="n">
        <v>3445000</v>
      </c>
      <c r="H70" s="2" t="n">
        <v>2805530.9</v>
      </c>
      <c r="I70" s="2">
        <f>G70-H70</f>
        <v/>
      </c>
      <c r="J70" s="3">
        <f>IFERROR(I70/G70,0)</f>
        <v/>
      </c>
    </row>
    <row r="71">
      <c r="A71" t="n">
        <v>2026</v>
      </c>
      <c r="B71" t="inlineStr">
        <is>
          <t>Q1</t>
        </is>
      </c>
      <c r="C71" t="inlineStr">
        <is>
          <t>South</t>
        </is>
      </c>
      <c r="D71" t="inlineStr">
        <is>
          <t>Monitor</t>
        </is>
      </c>
      <c r="E71" t="n">
        <v>117</v>
      </c>
      <c r="F71" s="2" t="n">
        <v>18000</v>
      </c>
      <c r="G71" s="2" t="n">
        <v>2106000</v>
      </c>
      <c r="H71" s="2" t="n">
        <v>1380968.17</v>
      </c>
      <c r="I71" s="2">
        <f>G71-H71</f>
        <v/>
      </c>
      <c r="J71" s="3">
        <f>IFERROR(I71/G71,0)</f>
        <v/>
      </c>
    </row>
    <row r="72">
      <c r="A72" t="n">
        <v>2026</v>
      </c>
      <c r="B72" t="inlineStr">
        <is>
          <t>Q1</t>
        </is>
      </c>
      <c r="C72" t="inlineStr">
        <is>
          <t>South</t>
        </is>
      </c>
      <c r="D72" t="inlineStr">
        <is>
          <t>Keyboard</t>
        </is>
      </c>
      <c r="E72" t="n">
        <v>33</v>
      </c>
      <c r="F72" s="2" t="n">
        <v>2500</v>
      </c>
      <c r="G72" s="2" t="n">
        <v>82500</v>
      </c>
      <c r="H72" s="2" t="n">
        <v>65513.56</v>
      </c>
      <c r="I72" s="2">
        <f>G72-H72</f>
        <v/>
      </c>
      <c r="J72" s="3">
        <f>IFERROR(I72/G72,0)</f>
        <v/>
      </c>
    </row>
    <row r="73">
      <c r="A73" t="n">
        <v>2026</v>
      </c>
      <c r="B73" t="inlineStr">
        <is>
          <t>Q1</t>
        </is>
      </c>
      <c r="C73" t="inlineStr">
        <is>
          <t>South</t>
        </is>
      </c>
      <c r="D73" t="inlineStr">
        <is>
          <t>Mouse</t>
        </is>
      </c>
      <c r="E73" t="n">
        <v>58</v>
      </c>
      <c r="F73" s="2" t="n">
        <v>1200</v>
      </c>
      <c r="G73" s="2" t="n">
        <v>69600</v>
      </c>
      <c r="H73" s="2" t="n">
        <v>54868.04</v>
      </c>
      <c r="I73" s="2">
        <f>G73-H73</f>
        <v/>
      </c>
      <c r="J73" s="3">
        <f>IFERROR(I73/G73,0)</f>
        <v/>
      </c>
    </row>
    <row r="74">
      <c r="A74" t="n">
        <v>2026</v>
      </c>
      <c r="B74" t="inlineStr">
        <is>
          <t>Q1</t>
        </is>
      </c>
      <c r="C74" t="inlineStr">
        <is>
          <t>East</t>
        </is>
      </c>
      <c r="D74" t="inlineStr">
        <is>
          <t>Laptop</t>
        </is>
      </c>
      <c r="E74" t="n">
        <v>84</v>
      </c>
      <c r="F74" s="2" t="n">
        <v>65000</v>
      </c>
      <c r="G74" s="2" t="n">
        <v>5460000</v>
      </c>
      <c r="H74" s="2" t="n">
        <v>4050195.47</v>
      </c>
      <c r="I74" s="2">
        <f>G74-H74</f>
        <v/>
      </c>
      <c r="J74" s="3">
        <f>IFERROR(I74/G74,0)</f>
        <v/>
      </c>
    </row>
    <row r="75">
      <c r="A75" t="n">
        <v>2026</v>
      </c>
      <c r="B75" t="inlineStr">
        <is>
          <t>Q1</t>
        </is>
      </c>
      <c r="C75" t="inlineStr">
        <is>
          <t>East</t>
        </is>
      </c>
      <c r="D75" t="inlineStr">
        <is>
          <t>Monitor</t>
        </is>
      </c>
      <c r="E75" t="n">
        <v>39</v>
      </c>
      <c r="F75" s="2" t="n">
        <v>18000</v>
      </c>
      <c r="G75" s="2" t="n">
        <v>702000</v>
      </c>
      <c r="H75" s="2" t="n">
        <v>487737.5</v>
      </c>
      <c r="I75" s="2">
        <f>G75-H75</f>
        <v/>
      </c>
      <c r="J75" s="3">
        <f>IFERROR(I75/G75,0)</f>
        <v/>
      </c>
    </row>
    <row r="76">
      <c r="A76" t="n">
        <v>2026</v>
      </c>
      <c r="B76" t="inlineStr">
        <is>
          <t>Q1</t>
        </is>
      </c>
      <c r="C76" t="inlineStr">
        <is>
          <t>East</t>
        </is>
      </c>
      <c r="D76" t="inlineStr">
        <is>
          <t>Keyboard</t>
        </is>
      </c>
      <c r="E76" t="n">
        <v>40</v>
      </c>
      <c r="F76" s="2" t="n">
        <v>2500</v>
      </c>
      <c r="G76" s="2" t="n">
        <v>100000</v>
      </c>
      <c r="H76" s="2" t="n">
        <v>72787.58</v>
      </c>
      <c r="I76" s="2">
        <f>G76-H76</f>
        <v/>
      </c>
      <c r="J76" s="3">
        <f>IFERROR(I76/G76,0)</f>
        <v/>
      </c>
    </row>
    <row r="77">
      <c r="A77" t="n">
        <v>2026</v>
      </c>
      <c r="B77" t="inlineStr">
        <is>
          <t>Q1</t>
        </is>
      </c>
      <c r="C77" t="inlineStr">
        <is>
          <t>East</t>
        </is>
      </c>
      <c r="D77" t="inlineStr">
        <is>
          <t>Mouse</t>
        </is>
      </c>
      <c r="E77" t="n">
        <v>119</v>
      </c>
      <c r="F77" s="2" t="n">
        <v>1200</v>
      </c>
      <c r="G77" s="2" t="n">
        <v>142800</v>
      </c>
      <c r="H77" s="2" t="n">
        <v>114880.72</v>
      </c>
      <c r="I77" s="2">
        <f>G77-H77</f>
        <v/>
      </c>
      <c r="J77" s="3">
        <f>IFERROR(I77/G77,0)</f>
        <v/>
      </c>
    </row>
    <row r="78">
      <c r="A78" t="n">
        <v>2026</v>
      </c>
      <c r="B78" t="inlineStr">
        <is>
          <t>Q1</t>
        </is>
      </c>
      <c r="C78" t="inlineStr">
        <is>
          <t>West</t>
        </is>
      </c>
      <c r="D78" t="inlineStr">
        <is>
          <t>Laptop</t>
        </is>
      </c>
      <c r="E78" t="n">
        <v>20</v>
      </c>
      <c r="F78" s="2" t="n">
        <v>65000</v>
      </c>
      <c r="G78" s="2" t="n">
        <v>1300000</v>
      </c>
      <c r="H78" s="2" t="n">
        <v>961725.59</v>
      </c>
      <c r="I78" s="2">
        <f>G78-H78</f>
        <v/>
      </c>
      <c r="J78" s="3">
        <f>IFERROR(I78/G78,0)</f>
        <v/>
      </c>
    </row>
    <row r="79">
      <c r="A79" t="n">
        <v>2026</v>
      </c>
      <c r="B79" t="inlineStr">
        <is>
          <t>Q1</t>
        </is>
      </c>
      <c r="C79" t="inlineStr">
        <is>
          <t>West</t>
        </is>
      </c>
      <c r="D79" t="inlineStr">
        <is>
          <t>Monitor</t>
        </is>
      </c>
      <c r="E79" t="n">
        <v>82</v>
      </c>
      <c r="F79" s="2" t="n">
        <v>18000</v>
      </c>
      <c r="G79" s="2" t="n">
        <v>1476000</v>
      </c>
      <c r="H79" s="2" t="n">
        <v>920869.53</v>
      </c>
      <c r="I79" s="2">
        <f>G79-H79</f>
        <v/>
      </c>
      <c r="J79" s="3">
        <f>IFERROR(I79/G79,0)</f>
        <v/>
      </c>
    </row>
    <row r="80">
      <c r="A80" t="n">
        <v>2026</v>
      </c>
      <c r="B80" t="inlineStr">
        <is>
          <t>Q1</t>
        </is>
      </c>
      <c r="C80" t="inlineStr">
        <is>
          <t>West</t>
        </is>
      </c>
      <c r="D80" t="inlineStr">
        <is>
          <t>Keyboard</t>
        </is>
      </c>
      <c r="E80" t="n">
        <v>66</v>
      </c>
      <c r="F80" s="2" t="n">
        <v>2500</v>
      </c>
      <c r="G80" s="2" t="n">
        <v>165000</v>
      </c>
      <c r="H80" s="2" t="n">
        <v>131297.82</v>
      </c>
      <c r="I80" s="2">
        <f>G80-H80</f>
        <v/>
      </c>
      <c r="J80" s="3">
        <f>IFERROR(I80/G80,0)</f>
        <v/>
      </c>
    </row>
    <row r="81">
      <c r="A81" t="n">
        <v>2026</v>
      </c>
      <c r="B81" t="inlineStr">
        <is>
          <t>Q1</t>
        </is>
      </c>
      <c r="C81" t="inlineStr">
        <is>
          <t>West</t>
        </is>
      </c>
      <c r="D81" t="inlineStr">
        <is>
          <t>Mouse</t>
        </is>
      </c>
      <c r="E81" t="n">
        <v>59</v>
      </c>
      <c r="F81" s="2" t="n">
        <v>1200</v>
      </c>
      <c r="G81" s="2" t="n">
        <v>70800</v>
      </c>
      <c r="H81" s="2" t="n">
        <v>47286.64</v>
      </c>
      <c r="I81" s="2">
        <f>G81-H81</f>
        <v/>
      </c>
      <c r="J81" s="3">
        <f>IFERROR(I81/G81,0)</f>
        <v/>
      </c>
    </row>
    <row r="82">
      <c r="A82" t="n">
        <v>2026</v>
      </c>
      <c r="B82" t="inlineStr">
        <is>
          <t>Q2</t>
        </is>
      </c>
      <c r="C82" t="inlineStr">
        <is>
          <t>North</t>
        </is>
      </c>
      <c r="D82" t="inlineStr">
        <is>
          <t>Laptop</t>
        </is>
      </c>
      <c r="E82" t="n">
        <v>50</v>
      </c>
      <c r="F82" s="2" t="n">
        <v>65000</v>
      </c>
      <c r="G82" s="2" t="n">
        <v>3250000</v>
      </c>
      <c r="H82" s="2" t="n">
        <v>2585706.24</v>
      </c>
      <c r="I82" s="2">
        <f>G82-H82</f>
        <v/>
      </c>
      <c r="J82" s="3">
        <f>IFERROR(I82/G82,0)</f>
        <v/>
      </c>
    </row>
    <row r="83">
      <c r="A83" t="n">
        <v>2026</v>
      </c>
      <c r="B83" t="inlineStr">
        <is>
          <t>Q2</t>
        </is>
      </c>
      <c r="C83" t="inlineStr">
        <is>
          <t>North</t>
        </is>
      </c>
      <c r="D83" t="inlineStr">
        <is>
          <t>Monitor</t>
        </is>
      </c>
      <c r="E83" t="n">
        <v>30</v>
      </c>
      <c r="F83" s="2" t="n">
        <v>18000</v>
      </c>
      <c r="G83" s="2" t="n">
        <v>540000</v>
      </c>
      <c r="H83" s="2" t="n">
        <v>344050.57</v>
      </c>
      <c r="I83" s="2">
        <f>G83-H83</f>
        <v/>
      </c>
      <c r="J83" s="3">
        <f>IFERROR(I83/G83,0)</f>
        <v/>
      </c>
    </row>
    <row r="84">
      <c r="A84" t="n">
        <v>2026</v>
      </c>
      <c r="B84" t="inlineStr">
        <is>
          <t>Q2</t>
        </is>
      </c>
      <c r="C84" t="inlineStr">
        <is>
          <t>North</t>
        </is>
      </c>
      <c r="D84" t="inlineStr">
        <is>
          <t>Keyboard</t>
        </is>
      </c>
      <c r="E84" t="n">
        <v>82</v>
      </c>
      <c r="F84" s="2" t="n">
        <v>2500</v>
      </c>
      <c r="G84" s="2" t="n">
        <v>205000</v>
      </c>
      <c r="H84" s="2" t="n">
        <v>160556.95</v>
      </c>
      <c r="I84" s="2">
        <f>G84-H84</f>
        <v/>
      </c>
      <c r="J84" s="3">
        <f>IFERROR(I84/G84,0)</f>
        <v/>
      </c>
    </row>
    <row r="85">
      <c r="A85" t="n">
        <v>2026</v>
      </c>
      <c r="B85" t="inlineStr">
        <is>
          <t>Q2</t>
        </is>
      </c>
      <c r="C85" t="inlineStr">
        <is>
          <t>North</t>
        </is>
      </c>
      <c r="D85" t="inlineStr">
        <is>
          <t>Mouse</t>
        </is>
      </c>
      <c r="E85" t="n">
        <v>117</v>
      </c>
      <c r="F85" s="2" t="n">
        <v>1200</v>
      </c>
      <c r="G85" s="2" t="n">
        <v>140400</v>
      </c>
      <c r="H85" s="2" t="n">
        <v>102006.39</v>
      </c>
      <c r="I85" s="2">
        <f>G85-H85</f>
        <v/>
      </c>
      <c r="J85" s="3">
        <f>IFERROR(I85/G85,0)</f>
        <v/>
      </c>
    </row>
    <row r="86">
      <c r="A86" t="n">
        <v>2026</v>
      </c>
      <c r="B86" t="inlineStr">
        <is>
          <t>Q2</t>
        </is>
      </c>
      <c r="C86" t="inlineStr">
        <is>
          <t>South</t>
        </is>
      </c>
      <c r="D86" t="inlineStr">
        <is>
          <t>Laptop</t>
        </is>
      </c>
      <c r="E86" t="n">
        <v>36</v>
      </c>
      <c r="F86" s="2" t="n">
        <v>65000</v>
      </c>
      <c r="G86" s="2" t="n">
        <v>2340000</v>
      </c>
      <c r="H86" s="2" t="n">
        <v>1510887.21</v>
      </c>
      <c r="I86" s="2">
        <f>G86-H86</f>
        <v/>
      </c>
      <c r="J86" s="3">
        <f>IFERROR(I86/G86,0)</f>
        <v/>
      </c>
    </row>
    <row r="87">
      <c r="A87" t="n">
        <v>2026</v>
      </c>
      <c r="B87" t="inlineStr">
        <is>
          <t>Q2</t>
        </is>
      </c>
      <c r="C87" t="inlineStr">
        <is>
          <t>South</t>
        </is>
      </c>
      <c r="D87" t="inlineStr">
        <is>
          <t>Monitor</t>
        </is>
      </c>
      <c r="E87" t="n">
        <v>80</v>
      </c>
      <c r="F87" s="2" t="n">
        <v>18000</v>
      </c>
      <c r="G87" s="2" t="n">
        <v>1440000</v>
      </c>
      <c r="H87" s="2" t="n">
        <v>1165492.42</v>
      </c>
      <c r="I87" s="2">
        <f>G87-H87</f>
        <v/>
      </c>
      <c r="J87" s="3">
        <f>IFERROR(I87/G87,0)</f>
        <v/>
      </c>
    </row>
    <row r="88">
      <c r="A88" t="n">
        <v>2026</v>
      </c>
      <c r="B88" t="inlineStr">
        <is>
          <t>Q2</t>
        </is>
      </c>
      <c r="C88" t="inlineStr">
        <is>
          <t>South</t>
        </is>
      </c>
      <c r="D88" t="inlineStr">
        <is>
          <t>Keyboard</t>
        </is>
      </c>
      <c r="E88" t="n">
        <v>41</v>
      </c>
      <c r="F88" s="2" t="n">
        <v>2500</v>
      </c>
      <c r="G88" s="2" t="n">
        <v>102500</v>
      </c>
      <c r="H88" s="2" t="n">
        <v>68983.66</v>
      </c>
      <c r="I88" s="2">
        <f>G88-H88</f>
        <v/>
      </c>
      <c r="J88" s="3">
        <f>IFERROR(I88/G88,0)</f>
        <v/>
      </c>
    </row>
    <row r="89">
      <c r="A89" t="n">
        <v>2026</v>
      </c>
      <c r="B89" t="inlineStr">
        <is>
          <t>Q2</t>
        </is>
      </c>
      <c r="C89" t="inlineStr">
        <is>
          <t>South</t>
        </is>
      </c>
      <c r="D89" t="inlineStr">
        <is>
          <t>Mouse</t>
        </is>
      </c>
      <c r="E89" t="n">
        <v>97</v>
      </c>
      <c r="F89" s="2" t="n">
        <v>1200</v>
      </c>
      <c r="G89" s="2" t="n">
        <v>116400</v>
      </c>
      <c r="H89" s="2" t="n">
        <v>82018.64999999999</v>
      </c>
      <c r="I89" s="2">
        <f>G89-H89</f>
        <v/>
      </c>
      <c r="J89" s="3">
        <f>IFERROR(I89/G89,0)</f>
        <v/>
      </c>
    </row>
    <row r="90">
      <c r="A90" t="n">
        <v>2026</v>
      </c>
      <c r="B90" t="inlineStr">
        <is>
          <t>Q2</t>
        </is>
      </c>
      <c r="C90" t="inlineStr">
        <is>
          <t>East</t>
        </is>
      </c>
      <c r="D90" t="inlineStr">
        <is>
          <t>Laptop</t>
        </is>
      </c>
      <c r="E90" t="n">
        <v>47</v>
      </c>
      <c r="F90" s="2" t="n">
        <v>65000</v>
      </c>
      <c r="G90" s="2" t="n">
        <v>3055000</v>
      </c>
      <c r="H90" s="2" t="n">
        <v>2461666.14</v>
      </c>
      <c r="I90" s="2">
        <f>G90-H90</f>
        <v/>
      </c>
      <c r="J90" s="3">
        <f>IFERROR(I90/G90,0)</f>
        <v/>
      </c>
    </row>
    <row r="91">
      <c r="A91" t="n">
        <v>2026</v>
      </c>
      <c r="B91" t="inlineStr">
        <is>
          <t>Q2</t>
        </is>
      </c>
      <c r="C91" t="inlineStr">
        <is>
          <t>East</t>
        </is>
      </c>
      <c r="D91" t="inlineStr">
        <is>
          <t>Monitor</t>
        </is>
      </c>
      <c r="E91" t="n">
        <v>116</v>
      </c>
      <c r="F91" s="2" t="n">
        <v>18000</v>
      </c>
      <c r="G91" s="2" t="n">
        <v>2088000</v>
      </c>
      <c r="H91" s="2" t="n">
        <v>1599379.21</v>
      </c>
      <c r="I91" s="2">
        <f>G91-H91</f>
        <v/>
      </c>
      <c r="J91" s="3">
        <f>IFERROR(I91/G91,0)</f>
        <v/>
      </c>
    </row>
    <row r="92">
      <c r="A92" t="n">
        <v>2026</v>
      </c>
      <c r="B92" t="inlineStr">
        <is>
          <t>Q2</t>
        </is>
      </c>
      <c r="C92" t="inlineStr">
        <is>
          <t>East</t>
        </is>
      </c>
      <c r="D92" t="inlineStr">
        <is>
          <t>Keyboard</t>
        </is>
      </c>
      <c r="E92" t="n">
        <v>45</v>
      </c>
      <c r="F92" s="2" t="n">
        <v>2500</v>
      </c>
      <c r="G92" s="2" t="n">
        <v>112500</v>
      </c>
      <c r="H92" s="2" t="n">
        <v>85791.35000000001</v>
      </c>
      <c r="I92" s="2">
        <f>G92-H92</f>
        <v/>
      </c>
      <c r="J92" s="3">
        <f>IFERROR(I92/G92,0)</f>
        <v/>
      </c>
    </row>
    <row r="93">
      <c r="A93" t="n">
        <v>2026</v>
      </c>
      <c r="B93" t="inlineStr">
        <is>
          <t>Q2</t>
        </is>
      </c>
      <c r="C93" t="inlineStr">
        <is>
          <t>East</t>
        </is>
      </c>
      <c r="D93" t="inlineStr">
        <is>
          <t>Mouse</t>
        </is>
      </c>
      <c r="E93" t="n">
        <v>71</v>
      </c>
      <c r="F93" s="2" t="n">
        <v>1200</v>
      </c>
      <c r="G93" s="2" t="n">
        <v>85200</v>
      </c>
      <c r="H93" s="2" t="n">
        <v>69781.35000000001</v>
      </c>
      <c r="I93" s="2">
        <f>G93-H93</f>
        <v/>
      </c>
      <c r="J93" s="3">
        <f>IFERROR(I93/G93,0)</f>
        <v/>
      </c>
    </row>
    <row r="94">
      <c r="A94" t="n">
        <v>2026</v>
      </c>
      <c r="B94" t="inlineStr">
        <is>
          <t>Q2</t>
        </is>
      </c>
      <c r="C94" t="inlineStr">
        <is>
          <t>West</t>
        </is>
      </c>
      <c r="D94" t="inlineStr">
        <is>
          <t>Laptop</t>
        </is>
      </c>
      <c r="E94" t="n">
        <v>103</v>
      </c>
      <c r="F94" s="2" t="n">
        <v>65000</v>
      </c>
      <c r="G94" s="2" t="n">
        <v>6695000</v>
      </c>
      <c r="H94" s="2" t="n">
        <v>4650910.05</v>
      </c>
      <c r="I94" s="2">
        <f>G94-H94</f>
        <v/>
      </c>
      <c r="J94" s="3">
        <f>IFERROR(I94/G94,0)</f>
        <v/>
      </c>
    </row>
    <row r="95">
      <c r="A95" t="n">
        <v>2026</v>
      </c>
      <c r="B95" t="inlineStr">
        <is>
          <t>Q2</t>
        </is>
      </c>
      <c r="C95" t="inlineStr">
        <is>
          <t>West</t>
        </is>
      </c>
      <c r="D95" t="inlineStr">
        <is>
          <t>Monitor</t>
        </is>
      </c>
      <c r="E95" t="n">
        <v>86</v>
      </c>
      <c r="F95" s="2" t="n">
        <v>18000</v>
      </c>
      <c r="G95" s="2" t="n">
        <v>1548000</v>
      </c>
      <c r="H95" s="2" t="n">
        <v>1099540.11</v>
      </c>
      <c r="I95" s="2">
        <f>G95-H95</f>
        <v/>
      </c>
      <c r="J95" s="3">
        <f>IFERROR(I95/G95,0)</f>
        <v/>
      </c>
    </row>
    <row r="96">
      <c r="A96" t="n">
        <v>2026</v>
      </c>
      <c r="B96" t="inlineStr">
        <is>
          <t>Q2</t>
        </is>
      </c>
      <c r="C96" t="inlineStr">
        <is>
          <t>West</t>
        </is>
      </c>
      <c r="D96" t="inlineStr">
        <is>
          <t>Keyboard</t>
        </is>
      </c>
      <c r="E96" t="n">
        <v>51</v>
      </c>
      <c r="F96" s="2" t="n">
        <v>2500</v>
      </c>
      <c r="G96" s="2" t="n">
        <v>127500</v>
      </c>
      <c r="H96" s="2" t="n">
        <v>84779.78</v>
      </c>
      <c r="I96" s="2">
        <f>G96-H96</f>
        <v/>
      </c>
      <c r="J96" s="3">
        <f>IFERROR(I96/G96,0)</f>
        <v/>
      </c>
    </row>
    <row r="97">
      <c r="A97" t="n">
        <v>2026</v>
      </c>
      <c r="B97" t="inlineStr">
        <is>
          <t>Q2</t>
        </is>
      </c>
      <c r="C97" t="inlineStr">
        <is>
          <t>West</t>
        </is>
      </c>
      <c r="D97" t="inlineStr">
        <is>
          <t>Mouse</t>
        </is>
      </c>
      <c r="E97" t="n">
        <v>63</v>
      </c>
      <c r="F97" s="2" t="n">
        <v>1200</v>
      </c>
      <c r="G97" s="2" t="n">
        <v>75600</v>
      </c>
      <c r="H97" s="2" t="n">
        <v>47190.04</v>
      </c>
      <c r="I97" s="2">
        <f>G97-H97</f>
        <v/>
      </c>
      <c r="J97" s="3">
        <f>IFERROR(I97/G97,0)</f>
        <v/>
      </c>
    </row>
    <row r="98">
      <c r="A98" t="n">
        <v>2026</v>
      </c>
      <c r="B98" t="inlineStr">
        <is>
          <t>Q3</t>
        </is>
      </c>
      <c r="C98" t="inlineStr">
        <is>
          <t>North</t>
        </is>
      </c>
      <c r="D98" t="inlineStr">
        <is>
          <t>Laptop</t>
        </is>
      </c>
      <c r="E98" t="n">
        <v>90</v>
      </c>
      <c r="F98" s="2" t="n">
        <v>65000</v>
      </c>
      <c r="G98" s="2" t="n">
        <v>5850000</v>
      </c>
      <c r="H98" s="2" t="n">
        <v>3896234.24</v>
      </c>
      <c r="I98" s="2">
        <f>G98-H98</f>
        <v/>
      </c>
      <c r="J98" s="3">
        <f>IFERROR(I98/G98,0)</f>
        <v/>
      </c>
    </row>
    <row r="99">
      <c r="A99" t="n">
        <v>2026</v>
      </c>
      <c r="B99" t="inlineStr">
        <is>
          <t>Q3</t>
        </is>
      </c>
      <c r="C99" t="inlineStr">
        <is>
          <t>North</t>
        </is>
      </c>
      <c r="D99" t="inlineStr">
        <is>
          <t>Monitor</t>
        </is>
      </c>
      <c r="E99" t="n">
        <v>48</v>
      </c>
      <c r="F99" s="2" t="n">
        <v>18000</v>
      </c>
      <c r="G99" s="2" t="n">
        <v>864000</v>
      </c>
      <c r="H99" s="2" t="n">
        <v>536922.58</v>
      </c>
      <c r="I99" s="2">
        <f>G99-H99</f>
        <v/>
      </c>
      <c r="J99" s="3">
        <f>IFERROR(I99/G99,0)</f>
        <v/>
      </c>
    </row>
    <row r="100">
      <c r="A100" t="n">
        <v>2026</v>
      </c>
      <c r="B100" t="inlineStr">
        <is>
          <t>Q3</t>
        </is>
      </c>
      <c r="C100" t="inlineStr">
        <is>
          <t>North</t>
        </is>
      </c>
      <c r="D100" t="inlineStr">
        <is>
          <t>Keyboard</t>
        </is>
      </c>
      <c r="E100" t="n">
        <v>110</v>
      </c>
      <c r="F100" s="2" t="n">
        <v>2500</v>
      </c>
      <c r="G100" s="2" t="n">
        <v>275000</v>
      </c>
      <c r="H100" s="2" t="n">
        <v>205210.66</v>
      </c>
      <c r="I100" s="2">
        <f>G100-H100</f>
        <v/>
      </c>
      <c r="J100" s="3">
        <f>IFERROR(I100/G100,0)</f>
        <v/>
      </c>
    </row>
    <row r="101">
      <c r="A101" t="n">
        <v>2026</v>
      </c>
      <c r="B101" t="inlineStr">
        <is>
          <t>Q3</t>
        </is>
      </c>
      <c r="C101" t="inlineStr">
        <is>
          <t>North</t>
        </is>
      </c>
      <c r="D101" t="inlineStr">
        <is>
          <t>Mouse</t>
        </is>
      </c>
      <c r="E101" t="n">
        <v>49</v>
      </c>
      <c r="F101" s="2" t="n">
        <v>1200</v>
      </c>
      <c r="G101" s="2" t="n">
        <v>58800</v>
      </c>
      <c r="H101" s="2" t="n">
        <v>37248.63</v>
      </c>
      <c r="I101" s="2">
        <f>G101-H101</f>
        <v/>
      </c>
      <c r="J101" s="3">
        <f>IFERROR(I101/G101,0)</f>
        <v/>
      </c>
    </row>
    <row r="102">
      <c r="A102" t="n">
        <v>2026</v>
      </c>
      <c r="B102" t="inlineStr">
        <is>
          <t>Q3</t>
        </is>
      </c>
      <c r="C102" t="inlineStr">
        <is>
          <t>South</t>
        </is>
      </c>
      <c r="D102" t="inlineStr">
        <is>
          <t>Laptop</t>
        </is>
      </c>
      <c r="E102" t="n">
        <v>24</v>
      </c>
      <c r="F102" s="2" t="n">
        <v>65000</v>
      </c>
      <c r="G102" s="2" t="n">
        <v>1560000</v>
      </c>
      <c r="H102" s="2" t="n">
        <v>1235406.24</v>
      </c>
      <c r="I102" s="2">
        <f>G102-H102</f>
        <v/>
      </c>
      <c r="J102" s="3">
        <f>IFERROR(I102/G102,0)</f>
        <v/>
      </c>
    </row>
    <row r="103">
      <c r="A103" t="n">
        <v>2026</v>
      </c>
      <c r="B103" t="inlineStr">
        <is>
          <t>Q3</t>
        </is>
      </c>
      <c r="C103" t="inlineStr">
        <is>
          <t>South</t>
        </is>
      </c>
      <c r="D103" t="inlineStr">
        <is>
          <t>Monitor</t>
        </is>
      </c>
      <c r="E103" t="n">
        <v>29</v>
      </c>
      <c r="F103" s="2" t="n">
        <v>18000</v>
      </c>
      <c r="G103" s="2" t="n">
        <v>522000</v>
      </c>
      <c r="H103" s="2" t="n">
        <v>377317.9</v>
      </c>
      <c r="I103" s="2">
        <f>G103-H103</f>
        <v/>
      </c>
      <c r="J103" s="3">
        <f>IFERROR(I103/G103,0)</f>
        <v/>
      </c>
    </row>
    <row r="104">
      <c r="A104" t="n">
        <v>2026</v>
      </c>
      <c r="B104" t="inlineStr">
        <is>
          <t>Q3</t>
        </is>
      </c>
      <c r="C104" t="inlineStr">
        <is>
          <t>South</t>
        </is>
      </c>
      <c r="D104" t="inlineStr">
        <is>
          <t>Keyboard</t>
        </is>
      </c>
      <c r="E104" t="n">
        <v>55</v>
      </c>
      <c r="F104" s="2" t="n">
        <v>2500</v>
      </c>
      <c r="G104" s="2" t="n">
        <v>137500</v>
      </c>
      <c r="H104" s="2" t="n">
        <v>103646.89</v>
      </c>
      <c r="I104" s="2">
        <f>G104-H104</f>
        <v/>
      </c>
      <c r="J104" s="3">
        <f>IFERROR(I104/G104,0)</f>
        <v/>
      </c>
    </row>
    <row r="105">
      <c r="A105" t="n">
        <v>2026</v>
      </c>
      <c r="B105" t="inlineStr">
        <is>
          <t>Q3</t>
        </is>
      </c>
      <c r="C105" t="inlineStr">
        <is>
          <t>South</t>
        </is>
      </c>
      <c r="D105" t="inlineStr">
        <is>
          <t>Mouse</t>
        </is>
      </c>
      <c r="E105" t="n">
        <v>47</v>
      </c>
      <c r="F105" s="2" t="n">
        <v>1200</v>
      </c>
      <c r="G105" s="2" t="n">
        <v>56400</v>
      </c>
      <c r="H105" s="2" t="n">
        <v>41050.56</v>
      </c>
      <c r="I105" s="2">
        <f>G105-H105</f>
        <v/>
      </c>
      <c r="J105" s="3">
        <f>IFERROR(I105/G105,0)</f>
        <v/>
      </c>
    </row>
    <row r="106">
      <c r="A106" t="n">
        <v>2026</v>
      </c>
      <c r="B106" t="inlineStr">
        <is>
          <t>Q3</t>
        </is>
      </c>
      <c r="C106" t="inlineStr">
        <is>
          <t>East</t>
        </is>
      </c>
      <c r="D106" t="inlineStr">
        <is>
          <t>Laptop</t>
        </is>
      </c>
      <c r="E106" t="n">
        <v>112</v>
      </c>
      <c r="F106" s="2" t="n">
        <v>65000</v>
      </c>
      <c r="G106" s="2" t="n">
        <v>7280000</v>
      </c>
      <c r="H106" s="2" t="n">
        <v>5875708.73</v>
      </c>
      <c r="I106" s="2">
        <f>G106-H106</f>
        <v/>
      </c>
      <c r="J106" s="3">
        <f>IFERROR(I106/G106,0)</f>
        <v/>
      </c>
    </row>
    <row r="107">
      <c r="A107" t="n">
        <v>2026</v>
      </c>
      <c r="B107" t="inlineStr">
        <is>
          <t>Q3</t>
        </is>
      </c>
      <c r="C107" t="inlineStr">
        <is>
          <t>East</t>
        </is>
      </c>
      <c r="D107" t="inlineStr">
        <is>
          <t>Monitor</t>
        </is>
      </c>
      <c r="E107" t="n">
        <v>93</v>
      </c>
      <c r="F107" s="2" t="n">
        <v>18000</v>
      </c>
      <c r="G107" s="2" t="n">
        <v>1674000</v>
      </c>
      <c r="H107" s="2" t="n">
        <v>1230795.66</v>
      </c>
      <c r="I107" s="2">
        <f>G107-H107</f>
        <v/>
      </c>
      <c r="J107" s="3">
        <f>IFERROR(I107/G107,0)</f>
        <v/>
      </c>
    </row>
    <row r="108">
      <c r="A108" t="n">
        <v>2026</v>
      </c>
      <c r="B108" t="inlineStr">
        <is>
          <t>Q3</t>
        </is>
      </c>
      <c r="C108" t="inlineStr">
        <is>
          <t>East</t>
        </is>
      </c>
      <c r="D108" t="inlineStr">
        <is>
          <t>Keyboard</t>
        </is>
      </c>
      <c r="E108" t="n">
        <v>51</v>
      </c>
      <c r="F108" s="2" t="n">
        <v>2500</v>
      </c>
      <c r="G108" s="2" t="n">
        <v>127500</v>
      </c>
      <c r="H108" s="2" t="n">
        <v>99057.8</v>
      </c>
      <c r="I108" s="2">
        <f>G108-H108</f>
        <v/>
      </c>
      <c r="J108" s="3">
        <f>IFERROR(I108/G108,0)</f>
        <v/>
      </c>
    </row>
    <row r="109">
      <c r="A109" t="n">
        <v>2026</v>
      </c>
      <c r="B109" t="inlineStr">
        <is>
          <t>Q3</t>
        </is>
      </c>
      <c r="C109" t="inlineStr">
        <is>
          <t>East</t>
        </is>
      </c>
      <c r="D109" t="inlineStr">
        <is>
          <t>Mouse</t>
        </is>
      </c>
      <c r="E109" t="n">
        <v>72</v>
      </c>
      <c r="F109" s="2" t="n">
        <v>1200</v>
      </c>
      <c r="G109" s="2" t="n">
        <v>86400</v>
      </c>
      <c r="H109" s="2" t="n">
        <v>56858.28</v>
      </c>
      <c r="I109" s="2">
        <f>G109-H109</f>
        <v/>
      </c>
      <c r="J109" s="3">
        <f>IFERROR(I109/G109,0)</f>
        <v/>
      </c>
    </row>
    <row r="110">
      <c r="A110" t="n">
        <v>2026</v>
      </c>
      <c r="B110" t="inlineStr">
        <is>
          <t>Q3</t>
        </is>
      </c>
      <c r="C110" t="inlineStr">
        <is>
          <t>West</t>
        </is>
      </c>
      <c r="D110" t="inlineStr">
        <is>
          <t>Laptop</t>
        </is>
      </c>
      <c r="E110" t="n">
        <v>32</v>
      </c>
      <c r="F110" s="2" t="n">
        <v>65000</v>
      </c>
      <c r="G110" s="2" t="n">
        <v>2080000</v>
      </c>
      <c r="H110" s="2" t="n">
        <v>1563736.82</v>
      </c>
      <c r="I110" s="2">
        <f>G110-H110</f>
        <v/>
      </c>
      <c r="J110" s="3">
        <f>IFERROR(I110/G110,0)</f>
        <v/>
      </c>
    </row>
    <row r="111">
      <c r="A111" t="n">
        <v>2026</v>
      </c>
      <c r="B111" t="inlineStr">
        <is>
          <t>Q3</t>
        </is>
      </c>
      <c r="C111" t="inlineStr">
        <is>
          <t>West</t>
        </is>
      </c>
      <c r="D111" t="inlineStr">
        <is>
          <t>Monitor</t>
        </is>
      </c>
      <c r="E111" t="n">
        <v>65</v>
      </c>
      <c r="F111" s="2" t="n">
        <v>18000</v>
      </c>
      <c r="G111" s="2" t="n">
        <v>1170000</v>
      </c>
      <c r="H111" s="2" t="n">
        <v>824517.4</v>
      </c>
      <c r="I111" s="2">
        <f>G111-H111</f>
        <v/>
      </c>
      <c r="J111" s="3">
        <f>IFERROR(I111/G111,0)</f>
        <v/>
      </c>
    </row>
    <row r="112">
      <c r="A112" t="n">
        <v>2026</v>
      </c>
      <c r="B112" t="inlineStr">
        <is>
          <t>Q3</t>
        </is>
      </c>
      <c r="C112" t="inlineStr">
        <is>
          <t>West</t>
        </is>
      </c>
      <c r="D112" t="inlineStr">
        <is>
          <t>Keyboard</t>
        </is>
      </c>
      <c r="E112" t="n">
        <v>79</v>
      </c>
      <c r="F112" s="2" t="n">
        <v>2500</v>
      </c>
      <c r="G112" s="2" t="n">
        <v>197500</v>
      </c>
      <c r="H112" s="2" t="n">
        <v>156571.55</v>
      </c>
      <c r="I112" s="2">
        <f>G112-H112</f>
        <v/>
      </c>
      <c r="J112" s="3">
        <f>IFERROR(I112/G112,0)</f>
        <v/>
      </c>
    </row>
    <row r="113">
      <c r="A113" t="n">
        <v>2026</v>
      </c>
      <c r="B113" t="inlineStr">
        <is>
          <t>Q3</t>
        </is>
      </c>
      <c r="C113" t="inlineStr">
        <is>
          <t>West</t>
        </is>
      </c>
      <c r="D113" t="inlineStr">
        <is>
          <t>Mouse</t>
        </is>
      </c>
      <c r="E113" t="n">
        <v>26</v>
      </c>
      <c r="F113" s="2" t="n">
        <v>1200</v>
      </c>
      <c r="G113" s="2" t="n">
        <v>31200</v>
      </c>
      <c r="H113" s="2" t="n">
        <v>23545.79</v>
      </c>
      <c r="I113" s="2">
        <f>G113-H113</f>
        <v/>
      </c>
      <c r="J113" s="3">
        <f>IFERROR(I113/G113,0)</f>
        <v/>
      </c>
    </row>
    <row r="114">
      <c r="A114" t="n">
        <v>2026</v>
      </c>
      <c r="B114" t="inlineStr">
        <is>
          <t>Q4</t>
        </is>
      </c>
      <c r="C114" t="inlineStr">
        <is>
          <t>North</t>
        </is>
      </c>
      <c r="D114" t="inlineStr">
        <is>
          <t>Laptop</t>
        </is>
      </c>
      <c r="E114" t="n">
        <v>102</v>
      </c>
      <c r="F114" s="2" t="n">
        <v>65000</v>
      </c>
      <c r="G114" s="2" t="n">
        <v>6630000</v>
      </c>
      <c r="H114" s="2" t="n">
        <v>4241102.1</v>
      </c>
      <c r="I114" s="2">
        <f>G114-H114</f>
        <v/>
      </c>
      <c r="J114" s="3">
        <f>IFERROR(I114/G114,0)</f>
        <v/>
      </c>
    </row>
    <row r="115">
      <c r="A115" t="n">
        <v>2026</v>
      </c>
      <c r="B115" t="inlineStr">
        <is>
          <t>Q4</t>
        </is>
      </c>
      <c r="C115" t="inlineStr">
        <is>
          <t>North</t>
        </is>
      </c>
      <c r="D115" t="inlineStr">
        <is>
          <t>Monitor</t>
        </is>
      </c>
      <c r="E115" t="n">
        <v>71</v>
      </c>
      <c r="F115" s="2" t="n">
        <v>18000</v>
      </c>
      <c r="G115" s="2" t="n">
        <v>1278000</v>
      </c>
      <c r="H115" s="2" t="n">
        <v>978491.39</v>
      </c>
      <c r="I115" s="2">
        <f>G115-H115</f>
        <v/>
      </c>
      <c r="J115" s="3">
        <f>IFERROR(I115/G115,0)</f>
        <v/>
      </c>
    </row>
    <row r="116">
      <c r="A116" t="n">
        <v>2026</v>
      </c>
      <c r="B116" t="inlineStr">
        <is>
          <t>Q4</t>
        </is>
      </c>
      <c r="C116" t="inlineStr">
        <is>
          <t>North</t>
        </is>
      </c>
      <c r="D116" t="inlineStr">
        <is>
          <t>Keyboard</t>
        </is>
      </c>
      <c r="E116" t="n">
        <v>33</v>
      </c>
      <c r="F116" s="2" t="n">
        <v>2500</v>
      </c>
      <c r="G116" s="2" t="n">
        <v>82500</v>
      </c>
      <c r="H116" s="2" t="n">
        <v>55252.83</v>
      </c>
      <c r="I116" s="2">
        <f>G116-H116</f>
        <v/>
      </c>
      <c r="J116" s="3">
        <f>IFERROR(I116/G116,0)</f>
        <v/>
      </c>
    </row>
    <row r="117">
      <c r="A117" t="n">
        <v>2026</v>
      </c>
      <c r="B117" t="inlineStr">
        <is>
          <t>Q4</t>
        </is>
      </c>
      <c r="C117" t="inlineStr">
        <is>
          <t>North</t>
        </is>
      </c>
      <c r="D117" t="inlineStr">
        <is>
          <t>Mouse</t>
        </is>
      </c>
      <c r="E117" t="n">
        <v>44</v>
      </c>
      <c r="F117" s="2" t="n">
        <v>1200</v>
      </c>
      <c r="G117" s="2" t="n">
        <v>52800</v>
      </c>
      <c r="H117" s="2" t="n">
        <v>38399.18</v>
      </c>
      <c r="I117" s="2">
        <f>G117-H117</f>
        <v/>
      </c>
      <c r="J117" s="3">
        <f>IFERROR(I117/G117,0)</f>
        <v/>
      </c>
    </row>
    <row r="118">
      <c r="A118" t="n">
        <v>2026</v>
      </c>
      <c r="B118" t="inlineStr">
        <is>
          <t>Q4</t>
        </is>
      </c>
      <c r="C118" t="inlineStr">
        <is>
          <t>South</t>
        </is>
      </c>
      <c r="D118" t="inlineStr">
        <is>
          <t>Laptop</t>
        </is>
      </c>
      <c r="E118" t="n">
        <v>37</v>
      </c>
      <c r="F118" s="2" t="n">
        <v>65000</v>
      </c>
      <c r="G118" s="2" t="n">
        <v>2405000</v>
      </c>
      <c r="H118" s="2" t="n">
        <v>1694025.07</v>
      </c>
      <c r="I118" s="2">
        <f>G118-H118</f>
        <v/>
      </c>
      <c r="J118" s="3">
        <f>IFERROR(I118/G118,0)</f>
        <v/>
      </c>
    </row>
    <row r="119">
      <c r="A119" t="n">
        <v>2026</v>
      </c>
      <c r="B119" t="inlineStr">
        <is>
          <t>Q4</t>
        </is>
      </c>
      <c r="C119" t="inlineStr">
        <is>
          <t>South</t>
        </is>
      </c>
      <c r="D119" t="inlineStr">
        <is>
          <t>Monitor</t>
        </is>
      </c>
      <c r="E119" t="n">
        <v>55</v>
      </c>
      <c r="F119" s="2" t="n">
        <v>18000</v>
      </c>
      <c r="G119" s="2" t="n">
        <v>990000</v>
      </c>
      <c r="H119" s="2" t="n">
        <v>705400.36</v>
      </c>
      <c r="I119" s="2">
        <f>G119-H119</f>
        <v/>
      </c>
      <c r="J119" s="3">
        <f>IFERROR(I119/G119,0)</f>
        <v/>
      </c>
    </row>
    <row r="120">
      <c r="A120" t="n">
        <v>2026</v>
      </c>
      <c r="B120" t="inlineStr">
        <is>
          <t>Q4</t>
        </is>
      </c>
      <c r="C120" t="inlineStr">
        <is>
          <t>South</t>
        </is>
      </c>
      <c r="D120" t="inlineStr">
        <is>
          <t>Keyboard</t>
        </is>
      </c>
      <c r="E120" t="n">
        <v>29</v>
      </c>
      <c r="F120" s="2" t="n">
        <v>2500</v>
      </c>
      <c r="G120" s="2" t="n">
        <v>72500</v>
      </c>
      <c r="H120" s="2" t="n">
        <v>51375.4</v>
      </c>
      <c r="I120" s="2">
        <f>G120-H120</f>
        <v/>
      </c>
      <c r="J120" s="3">
        <f>IFERROR(I120/G120,0)</f>
        <v/>
      </c>
    </row>
    <row r="121">
      <c r="A121" t="n">
        <v>2026</v>
      </c>
      <c r="B121" t="inlineStr">
        <is>
          <t>Q4</t>
        </is>
      </c>
      <c r="C121" t="inlineStr">
        <is>
          <t>South</t>
        </is>
      </c>
      <c r="D121" t="inlineStr">
        <is>
          <t>Mouse</t>
        </is>
      </c>
      <c r="E121" t="n">
        <v>90</v>
      </c>
      <c r="F121" s="2" t="n">
        <v>1200</v>
      </c>
      <c r="G121" s="2" t="n">
        <v>108000</v>
      </c>
      <c r="H121" s="2" t="n">
        <v>69074.83</v>
      </c>
      <c r="I121" s="2">
        <f>G121-H121</f>
        <v/>
      </c>
      <c r="J121" s="3">
        <f>IFERROR(I121/G121,0)</f>
        <v/>
      </c>
    </row>
    <row r="122">
      <c r="A122" t="n">
        <v>2026</v>
      </c>
      <c r="B122" t="inlineStr">
        <is>
          <t>Q4</t>
        </is>
      </c>
      <c r="C122" t="inlineStr">
        <is>
          <t>East</t>
        </is>
      </c>
      <c r="D122" t="inlineStr">
        <is>
          <t>Laptop</t>
        </is>
      </c>
      <c r="E122" t="n">
        <v>103</v>
      </c>
      <c r="F122" s="2" t="n">
        <v>65000</v>
      </c>
      <c r="G122" s="2" t="n">
        <v>6695000</v>
      </c>
      <c r="H122" s="2" t="n">
        <v>5488939.23</v>
      </c>
      <c r="I122" s="2">
        <f>G122-H122</f>
        <v/>
      </c>
      <c r="J122" s="3">
        <f>IFERROR(I122/G122,0)</f>
        <v/>
      </c>
    </row>
    <row r="123">
      <c r="A123" t="n">
        <v>2026</v>
      </c>
      <c r="B123" t="inlineStr">
        <is>
          <t>Q4</t>
        </is>
      </c>
      <c r="C123" t="inlineStr">
        <is>
          <t>East</t>
        </is>
      </c>
      <c r="D123" t="inlineStr">
        <is>
          <t>Monitor</t>
        </is>
      </c>
      <c r="E123" t="n">
        <v>21</v>
      </c>
      <c r="F123" s="2" t="n">
        <v>18000</v>
      </c>
      <c r="G123" s="2" t="n">
        <v>378000</v>
      </c>
      <c r="H123" s="2" t="n">
        <v>307616.12</v>
      </c>
      <c r="I123" s="2">
        <f>G123-H123</f>
        <v/>
      </c>
      <c r="J123" s="3">
        <f>IFERROR(I123/G123,0)</f>
        <v/>
      </c>
    </row>
    <row r="124">
      <c r="A124" t="n">
        <v>2026</v>
      </c>
      <c r="B124" t="inlineStr">
        <is>
          <t>Q4</t>
        </is>
      </c>
      <c r="C124" t="inlineStr">
        <is>
          <t>East</t>
        </is>
      </c>
      <c r="D124" t="inlineStr">
        <is>
          <t>Keyboard</t>
        </is>
      </c>
      <c r="E124" t="n">
        <v>116</v>
      </c>
      <c r="F124" s="2" t="n">
        <v>2500</v>
      </c>
      <c r="G124" s="2" t="n">
        <v>290000</v>
      </c>
      <c r="H124" s="2" t="n">
        <v>229024.35</v>
      </c>
      <c r="I124" s="2">
        <f>G124-H124</f>
        <v/>
      </c>
      <c r="J124" s="3">
        <f>IFERROR(I124/G124,0)</f>
        <v/>
      </c>
    </row>
    <row r="125">
      <c r="A125" t="n">
        <v>2026</v>
      </c>
      <c r="B125" t="inlineStr">
        <is>
          <t>Q4</t>
        </is>
      </c>
      <c r="C125" t="inlineStr">
        <is>
          <t>East</t>
        </is>
      </c>
      <c r="D125" t="inlineStr">
        <is>
          <t>Mouse</t>
        </is>
      </c>
      <c r="E125" t="n">
        <v>41</v>
      </c>
      <c r="F125" s="2" t="n">
        <v>1200</v>
      </c>
      <c r="G125" s="2" t="n">
        <v>49200</v>
      </c>
      <c r="H125" s="2" t="n">
        <v>34503.11</v>
      </c>
      <c r="I125" s="2">
        <f>G125-H125</f>
        <v/>
      </c>
      <c r="J125" s="3">
        <f>IFERROR(I125/G125,0)</f>
        <v/>
      </c>
    </row>
    <row r="126">
      <c r="A126" t="n">
        <v>2026</v>
      </c>
      <c r="B126" t="inlineStr">
        <is>
          <t>Q4</t>
        </is>
      </c>
      <c r="C126" t="inlineStr">
        <is>
          <t>West</t>
        </is>
      </c>
      <c r="D126" t="inlineStr">
        <is>
          <t>Laptop</t>
        </is>
      </c>
      <c r="E126" t="n">
        <v>81</v>
      </c>
      <c r="F126" s="2" t="n">
        <v>65000</v>
      </c>
      <c r="G126" s="2" t="n">
        <v>5265000</v>
      </c>
      <c r="H126" s="2" t="n">
        <v>3489375.91</v>
      </c>
      <c r="I126" s="2">
        <f>G126-H126</f>
        <v/>
      </c>
      <c r="J126" s="3">
        <f>IFERROR(I126/G126,0)</f>
        <v/>
      </c>
    </row>
    <row r="127">
      <c r="A127" t="n">
        <v>2026</v>
      </c>
      <c r="B127" t="inlineStr">
        <is>
          <t>Q4</t>
        </is>
      </c>
      <c r="C127" t="inlineStr">
        <is>
          <t>West</t>
        </is>
      </c>
      <c r="D127" t="inlineStr">
        <is>
          <t>Monitor</t>
        </is>
      </c>
      <c r="E127" t="n">
        <v>71</v>
      </c>
      <c r="F127" s="2" t="n">
        <v>18000</v>
      </c>
      <c r="G127" s="2" t="n">
        <v>1278000</v>
      </c>
      <c r="H127" s="2" t="n">
        <v>1023024.4</v>
      </c>
      <c r="I127" s="2">
        <f>G127-H127</f>
        <v/>
      </c>
      <c r="J127" s="3">
        <f>IFERROR(I127/G127,0)</f>
        <v/>
      </c>
    </row>
    <row r="128">
      <c r="A128" t="n">
        <v>2026</v>
      </c>
      <c r="B128" t="inlineStr">
        <is>
          <t>Q4</t>
        </is>
      </c>
      <c r="C128" t="inlineStr">
        <is>
          <t>West</t>
        </is>
      </c>
      <c r="D128" t="inlineStr">
        <is>
          <t>Keyboard</t>
        </is>
      </c>
      <c r="E128" t="n">
        <v>41</v>
      </c>
      <c r="F128" s="2" t="n">
        <v>2500</v>
      </c>
      <c r="G128" s="2" t="n">
        <v>102500</v>
      </c>
      <c r="H128" s="2" t="n">
        <v>71318.95</v>
      </c>
      <c r="I128" s="2">
        <f>G128-H128</f>
        <v/>
      </c>
      <c r="J128" s="3">
        <f>IFERROR(I128/G128,0)</f>
        <v/>
      </c>
    </row>
    <row r="129">
      <c r="A129" t="n">
        <v>2026</v>
      </c>
      <c r="B129" t="inlineStr">
        <is>
          <t>Q4</t>
        </is>
      </c>
      <c r="C129" t="inlineStr">
        <is>
          <t>West</t>
        </is>
      </c>
      <c r="D129" t="inlineStr">
        <is>
          <t>Mouse</t>
        </is>
      </c>
      <c r="E129" t="n">
        <v>69</v>
      </c>
      <c r="F129" s="2" t="n">
        <v>1200</v>
      </c>
      <c r="G129" s="2" t="n">
        <v>82800</v>
      </c>
      <c r="H129" s="2" t="n">
        <v>55727.76</v>
      </c>
      <c r="I129" s="2">
        <f>G129-H129</f>
        <v/>
      </c>
      <c r="J129" s="3">
        <f>IFERROR(I129/G129,0)</f>
        <v/>
      </c>
    </row>
  </sheetData>
  <conditionalFormatting sqref="J2:J129">
    <cfRule type="cellIs" priority="1" operator="lessThan" dxfId="0">
      <formula>0.2</formula>
    </cfRule>
    <cfRule type="cellIs" priority="2" operator="greaterThanOrEqual" dxfId="1">
      <formula>0.3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Revenue Summary by Region / Product / Quarter</t>
        </is>
      </c>
    </row>
    <row r="2">
      <c r="A2" s="5" t="inlineStr">
        <is>
          <t>Region</t>
        </is>
      </c>
      <c r="B2" s="5" t="inlineStr">
        <is>
          <t>Product</t>
        </is>
      </c>
      <c r="C2" s="5" t="inlineStr">
        <is>
          <t>Q1 Revenue</t>
        </is>
      </c>
      <c r="D2" s="5" t="inlineStr">
        <is>
          <t>Q2 Revenue</t>
        </is>
      </c>
      <c r="E2" s="5" t="inlineStr">
        <is>
          <t>Q3 Revenue</t>
        </is>
      </c>
      <c r="F2" s="5" t="inlineStr">
        <is>
          <t>Q4 Revenue</t>
        </is>
      </c>
      <c r="G2" s="5" t="inlineStr">
        <is>
          <t>Total Revenue</t>
        </is>
      </c>
      <c r="H2" s="5" t="inlineStr">
        <is>
          <t>Total Margin</t>
        </is>
      </c>
      <c r="I2" s="5" t="inlineStr">
        <is>
          <t>Margin %</t>
        </is>
      </c>
      <c r="K2" s="5" t="inlineStr">
        <is>
          <t>Quarter</t>
        </is>
      </c>
      <c r="L2" s="5" t="inlineStr">
        <is>
          <t>Revenue</t>
        </is>
      </c>
      <c r="M2" s="5" t="inlineStr">
        <is>
          <t>Growth %</t>
        </is>
      </c>
    </row>
    <row r="3">
      <c r="A3" s="6" t="inlineStr">
        <is>
          <t>East</t>
        </is>
      </c>
      <c r="B3" s="6" t="inlineStr">
        <is>
          <t>Keyboard</t>
        </is>
      </c>
      <c r="C3" s="7" t="n">
        <v>100000</v>
      </c>
      <c r="D3" s="7" t="n">
        <v>112500</v>
      </c>
      <c r="E3" s="7" t="n">
        <v>127500</v>
      </c>
      <c r="F3" s="7" t="n">
        <v>290000</v>
      </c>
      <c r="G3" s="7" t="n">
        <v>630000</v>
      </c>
      <c r="H3" s="7" t="n">
        <v>143338.92</v>
      </c>
      <c r="I3" s="8" t="n">
        <v>0.2275220952380952</v>
      </c>
      <c r="K3" t="inlineStr">
        <is>
          <t>Q1</t>
        </is>
      </c>
      <c r="L3" s="2" t="n">
        <v>23636100</v>
      </c>
      <c r="M3" s="3" t="inlineStr">
        <is>
          <t>N/A</t>
        </is>
      </c>
    </row>
    <row r="4">
      <c r="A4" s="6" t="inlineStr">
        <is>
          <t>East</t>
        </is>
      </c>
      <c r="B4" s="6" t="inlineStr">
        <is>
          <t>Laptop</t>
        </is>
      </c>
      <c r="C4" s="7" t="n">
        <v>5460000</v>
      </c>
      <c r="D4" s="7" t="n">
        <v>3055000</v>
      </c>
      <c r="E4" s="7" t="n">
        <v>7280000</v>
      </c>
      <c r="F4" s="7" t="n">
        <v>6695000</v>
      </c>
      <c r="G4" s="7" t="n">
        <v>22490000</v>
      </c>
      <c r="H4" s="7" t="n">
        <v>4613490.429999999</v>
      </c>
      <c r="I4" s="8" t="n">
        <v>0.205135190306803</v>
      </c>
      <c r="K4" t="inlineStr">
        <is>
          <t>Q2</t>
        </is>
      </c>
      <c r="L4" s="2" t="n">
        <v>21921100</v>
      </c>
      <c r="M4" s="3">
        <f>IFERROR(L4/L3-1,0)</f>
        <v/>
      </c>
    </row>
    <row r="5">
      <c r="A5" s="6" t="inlineStr">
        <is>
          <t>East</t>
        </is>
      </c>
      <c r="B5" s="6" t="inlineStr">
        <is>
          <t>Monitor</t>
        </is>
      </c>
      <c r="C5" s="7" t="n">
        <v>702000</v>
      </c>
      <c r="D5" s="7" t="n">
        <v>2088000</v>
      </c>
      <c r="E5" s="7" t="n">
        <v>1674000</v>
      </c>
      <c r="F5" s="7" t="n">
        <v>378000</v>
      </c>
      <c r="G5" s="7" t="n">
        <v>4842000</v>
      </c>
      <c r="H5" s="7" t="n">
        <v>1216471.51</v>
      </c>
      <c r="I5" s="8" t="n">
        <v>0.251233273440727</v>
      </c>
      <c r="K5" t="inlineStr">
        <is>
          <t>Q3</t>
        </is>
      </c>
      <c r="L5" s="2" t="n">
        <v>21970300</v>
      </c>
      <c r="M5" s="3">
        <f>IFERROR(L5/L4-1,0)</f>
        <v/>
      </c>
    </row>
    <row r="6">
      <c r="A6" s="6" t="inlineStr">
        <is>
          <t>East</t>
        </is>
      </c>
      <c r="B6" s="6" t="inlineStr">
        <is>
          <t>Mouse</t>
        </is>
      </c>
      <c r="C6" s="7" t="n">
        <v>142800</v>
      </c>
      <c r="D6" s="7" t="n">
        <v>85200</v>
      </c>
      <c r="E6" s="7" t="n">
        <v>86400</v>
      </c>
      <c r="F6" s="7" t="n">
        <v>49200</v>
      </c>
      <c r="G6" s="7" t="n">
        <v>363600</v>
      </c>
      <c r="H6" s="7" t="n">
        <v>87576.53999999999</v>
      </c>
      <c r="I6" s="8" t="n">
        <v>0.2408595709570957</v>
      </c>
      <c r="K6" t="inlineStr">
        <is>
          <t>Q4</t>
        </is>
      </c>
      <c r="L6" s="2" t="n">
        <v>25759300</v>
      </c>
      <c r="M6" s="3">
        <f>IFERROR(L6/L5-1,0)</f>
        <v/>
      </c>
    </row>
    <row r="7">
      <c r="A7" s="6" t="inlineStr">
        <is>
          <t>North</t>
        </is>
      </c>
      <c r="B7" s="6" t="inlineStr">
        <is>
          <t>Keyboard</t>
        </is>
      </c>
      <c r="C7" s="7" t="n">
        <v>100000</v>
      </c>
      <c r="D7" s="7" t="n">
        <v>205000</v>
      </c>
      <c r="E7" s="7" t="n">
        <v>275000</v>
      </c>
      <c r="F7" s="7" t="n">
        <v>82500</v>
      </c>
      <c r="G7" s="7" t="n">
        <v>662500</v>
      </c>
      <c r="H7" s="7" t="n">
        <v>170405.09</v>
      </c>
      <c r="I7" s="8" t="n">
        <v>0.2572152301886792</v>
      </c>
    </row>
    <row r="8">
      <c r="A8" s="6" t="inlineStr">
        <is>
          <t>North</t>
        </is>
      </c>
      <c r="B8" s="6" t="inlineStr">
        <is>
          <t>Laptop</t>
        </is>
      </c>
      <c r="C8" s="7" t="n">
        <v>7670000</v>
      </c>
      <c r="D8" s="7" t="n">
        <v>3250000</v>
      </c>
      <c r="E8" s="7" t="n">
        <v>5850000</v>
      </c>
      <c r="F8" s="7" t="n">
        <v>6630000</v>
      </c>
      <c r="G8" s="7" t="n">
        <v>23400000</v>
      </c>
      <c r="H8" s="7" t="n">
        <v>6938322.02</v>
      </c>
      <c r="I8" s="8" t="n">
        <v>0.296509488034188</v>
      </c>
    </row>
    <row r="9">
      <c r="A9" s="6" t="inlineStr">
        <is>
          <t>North</t>
        </is>
      </c>
      <c r="B9" s="6" t="inlineStr">
        <is>
          <t>Monitor</t>
        </is>
      </c>
      <c r="C9" s="7" t="n">
        <v>612000</v>
      </c>
      <c r="D9" s="7" t="n">
        <v>540000</v>
      </c>
      <c r="E9" s="7" t="n">
        <v>864000</v>
      </c>
      <c r="F9" s="7" t="n">
        <v>1278000</v>
      </c>
      <c r="G9" s="7" t="n">
        <v>3294000</v>
      </c>
      <c r="H9" s="7" t="n">
        <v>1019171.04</v>
      </c>
      <c r="I9" s="8" t="n">
        <v>0.3094022586520948</v>
      </c>
    </row>
    <row r="10">
      <c r="A10" s="6" t="inlineStr">
        <is>
          <t>North</t>
        </is>
      </c>
      <c r="B10" s="6" t="inlineStr">
        <is>
          <t>Mouse</t>
        </is>
      </c>
      <c r="C10" s="7" t="n">
        <v>134400</v>
      </c>
      <c r="D10" s="7" t="n">
        <v>140400</v>
      </c>
      <c r="E10" s="7" t="n">
        <v>58800</v>
      </c>
      <c r="F10" s="7" t="n">
        <v>52800</v>
      </c>
      <c r="G10" s="7" t="n">
        <v>386400</v>
      </c>
      <c r="H10" s="7" t="n">
        <v>101874.87</v>
      </c>
      <c r="I10" s="8" t="n">
        <v>0.2636513198757764</v>
      </c>
    </row>
    <row r="11">
      <c r="A11" s="6" t="inlineStr">
        <is>
          <t>South</t>
        </is>
      </c>
      <c r="B11" s="6" t="inlineStr">
        <is>
          <t>Keyboard</t>
        </is>
      </c>
      <c r="C11" s="7" t="n">
        <v>82500</v>
      </c>
      <c r="D11" s="7" t="n">
        <v>102500</v>
      </c>
      <c r="E11" s="7" t="n">
        <v>137500</v>
      </c>
      <c r="F11" s="7" t="n">
        <v>72500</v>
      </c>
      <c r="G11" s="7" t="n">
        <v>395000</v>
      </c>
      <c r="H11" s="7" t="n">
        <v>105480.49</v>
      </c>
      <c r="I11" s="8" t="n">
        <v>0.2670392151898734</v>
      </c>
    </row>
    <row r="12">
      <c r="A12" s="6" t="inlineStr">
        <is>
          <t>South</t>
        </is>
      </c>
      <c r="B12" s="6" t="inlineStr">
        <is>
          <t>Laptop</t>
        </is>
      </c>
      <c r="C12" s="7" t="n">
        <v>3445000</v>
      </c>
      <c r="D12" s="7" t="n">
        <v>2340000</v>
      </c>
      <c r="E12" s="7" t="n">
        <v>1560000</v>
      </c>
      <c r="F12" s="7" t="n">
        <v>2405000</v>
      </c>
      <c r="G12" s="7" t="n">
        <v>9750000</v>
      </c>
      <c r="H12" s="7" t="n">
        <v>2504150.58</v>
      </c>
      <c r="I12" s="8" t="n">
        <v>0.2568359569230769</v>
      </c>
    </row>
    <row r="13">
      <c r="A13" s="6" t="inlineStr">
        <is>
          <t>South</t>
        </is>
      </c>
      <c r="B13" s="6" t="inlineStr">
        <is>
          <t>Monitor</t>
        </is>
      </c>
      <c r="C13" s="7" t="n">
        <v>2106000</v>
      </c>
      <c r="D13" s="7" t="n">
        <v>1440000</v>
      </c>
      <c r="E13" s="7" t="n">
        <v>522000</v>
      </c>
      <c r="F13" s="7" t="n">
        <v>990000</v>
      </c>
      <c r="G13" s="7" t="n">
        <v>5058000</v>
      </c>
      <c r="H13" s="7" t="n">
        <v>1428821.15</v>
      </c>
      <c r="I13" s="8" t="n">
        <v>0.282487376433373</v>
      </c>
    </row>
    <row r="14">
      <c r="A14" s="6" t="inlineStr">
        <is>
          <t>South</t>
        </is>
      </c>
      <c r="B14" s="6" t="inlineStr">
        <is>
          <t>Mouse</t>
        </is>
      </c>
      <c r="C14" s="7" t="n">
        <v>69600</v>
      </c>
      <c r="D14" s="7" t="n">
        <v>116400</v>
      </c>
      <c r="E14" s="7" t="n">
        <v>56400</v>
      </c>
      <c r="F14" s="7" t="n">
        <v>108000</v>
      </c>
      <c r="G14" s="7" t="n">
        <v>350400</v>
      </c>
      <c r="H14" s="7" t="n">
        <v>103387.92</v>
      </c>
      <c r="I14" s="8" t="n">
        <v>0.2950568493150685</v>
      </c>
    </row>
    <row r="15">
      <c r="A15" s="6" t="inlineStr">
        <is>
          <t>West</t>
        </is>
      </c>
      <c r="B15" s="6" t="inlineStr">
        <is>
          <t>Keyboard</t>
        </is>
      </c>
      <c r="C15" s="7" t="n">
        <v>165000</v>
      </c>
      <c r="D15" s="7" t="n">
        <v>127500</v>
      </c>
      <c r="E15" s="7" t="n">
        <v>197500</v>
      </c>
      <c r="F15" s="7" t="n">
        <v>102500</v>
      </c>
      <c r="G15" s="7" t="n">
        <v>592500</v>
      </c>
      <c r="H15" s="7" t="n">
        <v>148531.9</v>
      </c>
      <c r="I15" s="8" t="n">
        <v>0.2506867510548524</v>
      </c>
    </row>
    <row r="16">
      <c r="A16" s="6" t="inlineStr">
        <is>
          <t>West</t>
        </is>
      </c>
      <c r="B16" s="6" t="inlineStr">
        <is>
          <t>Laptop</t>
        </is>
      </c>
      <c r="C16" s="7" t="n">
        <v>1300000</v>
      </c>
      <c r="D16" s="7" t="n">
        <v>6695000</v>
      </c>
      <c r="E16" s="7" t="n">
        <v>2080000</v>
      </c>
      <c r="F16" s="7" t="n">
        <v>5265000</v>
      </c>
      <c r="G16" s="7" t="n">
        <v>15340000</v>
      </c>
      <c r="H16" s="7" t="n">
        <v>4674251.63</v>
      </c>
      <c r="I16" s="8" t="n">
        <v>0.3047100149934811</v>
      </c>
    </row>
    <row r="17">
      <c r="A17" s="6" t="inlineStr">
        <is>
          <t>West</t>
        </is>
      </c>
      <c r="B17" s="6" t="inlineStr">
        <is>
          <t>Monitor</t>
        </is>
      </c>
      <c r="C17" s="7" t="n">
        <v>1476000</v>
      </c>
      <c r="D17" s="7" t="n">
        <v>1548000</v>
      </c>
      <c r="E17" s="7" t="n">
        <v>1170000</v>
      </c>
      <c r="F17" s="7" t="n">
        <v>1278000</v>
      </c>
      <c r="G17" s="7" t="n">
        <v>5472000</v>
      </c>
      <c r="H17" s="7" t="n">
        <v>1604048.56</v>
      </c>
      <c r="I17" s="8" t="n">
        <v>0.2931375292397661</v>
      </c>
    </row>
    <row r="18">
      <c r="A18" s="6" t="inlineStr">
        <is>
          <t>West</t>
        </is>
      </c>
      <c r="B18" s="6" t="inlineStr">
        <is>
          <t>Mouse</t>
        </is>
      </c>
      <c r="C18" s="7" t="n">
        <v>70800</v>
      </c>
      <c r="D18" s="7" t="n">
        <v>75600</v>
      </c>
      <c r="E18" s="7" t="n">
        <v>31200</v>
      </c>
      <c r="F18" s="7" t="n">
        <v>82800</v>
      </c>
      <c r="G18" s="7" t="n">
        <v>260400</v>
      </c>
      <c r="H18" s="7" t="n">
        <v>86649.76999999999</v>
      </c>
      <c r="I18" s="8" t="n">
        <v>0.3327564132104454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Business Sales Dashboard — 2026</t>
        </is>
      </c>
    </row>
    <row r="3">
      <c r="A3" s="5" t="inlineStr">
        <is>
          <t>KPI</t>
        </is>
      </c>
      <c r="B3" s="5" t="inlineStr">
        <is>
          <t>Value</t>
        </is>
      </c>
    </row>
    <row r="4">
      <c r="A4" t="inlineStr">
        <is>
          <t>Total Revenue</t>
        </is>
      </c>
      <c r="B4" s="2">
        <f>SUM('PivotTable_Summary'!G3:G18)</f>
        <v/>
      </c>
    </row>
    <row r="5">
      <c r="A5" t="inlineStr">
        <is>
          <t>Total Margin</t>
        </is>
      </c>
      <c r="B5" s="2">
        <f>SUM('PivotTable_Summary'!H3:H18)</f>
        <v/>
      </c>
    </row>
    <row r="6">
      <c r="A6" t="inlineStr">
        <is>
          <t>Margin %</t>
        </is>
      </c>
      <c r="B6" s="3">
        <f>IFERROR(B5/B4,0)</f>
        <v/>
      </c>
    </row>
    <row r="7">
      <c r="A7" t="inlineStr">
        <is>
          <t>Average Quarterly Growth</t>
        </is>
      </c>
      <c r="B7" s="3">
        <f>AVERAGE('PivotTable_Summary'!M4:M6)</f>
        <v/>
      </c>
    </row>
    <row r="10">
      <c r="A10" s="5" t="inlineStr">
        <is>
          <t>Region</t>
        </is>
      </c>
      <c r="B10" s="5" t="inlineStr">
        <is>
          <t>Revenue</t>
        </is>
      </c>
    </row>
    <row r="11">
      <c r="A11" t="inlineStr">
        <is>
          <t>North</t>
        </is>
      </c>
      <c r="B11" s="2" t="n">
        <v>27742900</v>
      </c>
    </row>
    <row r="12">
      <c r="A12" t="inlineStr">
        <is>
          <t>South</t>
        </is>
      </c>
      <c r="B12" s="2" t="n">
        <v>15553400</v>
      </c>
    </row>
    <row r="13">
      <c r="A13" t="inlineStr">
        <is>
          <t>East</t>
        </is>
      </c>
      <c r="B13" s="2" t="n">
        <v>28325600</v>
      </c>
    </row>
    <row r="14">
      <c r="A14" t="inlineStr">
        <is>
          <t>West</t>
        </is>
      </c>
      <c r="B14" s="2" t="n">
        <v>21664900</v>
      </c>
    </row>
  </sheetData>
  <conditionalFormatting sqref="B6">
    <cfRule type="cellIs" priority="1" operator="lessThan" dxfId="0">
      <formula>0.2</formula>
    </cfRule>
    <cfRule type="cellIs" priority="2" operator="greaterThanOrEqual" dxfId="1">
      <formula>0.3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Dynamic Slicers Setup</t>
        </is>
      </c>
    </row>
    <row r="2">
      <c r="A2" t="inlineStr">
        <is>
          <t>1. Select the PivotTable on PivotTable_Summary.</t>
        </is>
      </c>
    </row>
    <row r="3">
      <c r="A3" t="inlineStr">
        <is>
          <t>2. In Excel: PivotTable Analyze → Insert Slicer.</t>
        </is>
      </c>
    </row>
    <row r="4">
      <c r="A4" t="inlineStr">
        <is>
          <t>3. Select Region, Product, and Quarter.</t>
        </is>
      </c>
    </row>
    <row r="5">
      <c r="A5" t="inlineStr">
        <is>
          <t>4. Move the slicers to the Dashboard sheet.</t>
        </is>
      </c>
    </row>
    <row r="6">
      <c r="A6" t="inlineStr">
        <is>
          <t>5. Select each slicer → Report Connections → connect it to the PivotTable/PivotChart.</t>
        </is>
      </c>
    </row>
    <row r="7">
      <c r="A7" t="inlineStr">
        <is>
          <t>6. Use the slicers to filter the dashboard dynamically.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105" customWidth="1" min="2" max="2"/>
  </cols>
  <sheetData>
    <row r="1">
      <c r="A1" s="10" t="inlineStr">
        <is>
          <t>Power Query — Multi-CSV Workflow</t>
        </is>
      </c>
    </row>
    <row r="2">
      <c r="A2" t="inlineStr">
        <is>
          <t>Source folder</t>
        </is>
      </c>
      <c r="B2" t="inlineStr">
        <is>
          <t>The repository folder containing sales_part_1.csv ... sales_part_4.csv</t>
        </is>
      </c>
    </row>
    <row r="3">
      <c r="A3" t="inlineStr">
        <is>
          <t>Step 1</t>
        </is>
      </c>
      <c r="B3" t="inlineStr">
        <is>
          <t>Excel → Data → Get Data → From File → From Folder</t>
        </is>
      </c>
    </row>
    <row r="4">
      <c r="A4" t="inlineStr">
        <is>
          <t>Step 2</t>
        </is>
      </c>
      <c r="B4" t="inlineStr">
        <is>
          <t>Choose the repository's CSV folder.</t>
        </is>
      </c>
    </row>
    <row r="5">
      <c r="A5" t="inlineStr">
        <is>
          <t>Step 3</t>
        </is>
      </c>
      <c r="B5" t="inlineStr">
        <is>
          <t>Select Combine &amp; Transform Data.</t>
        </is>
      </c>
    </row>
    <row r="6">
      <c r="A6" t="inlineStr">
        <is>
          <t>Step 4</t>
        </is>
      </c>
      <c r="B6" t="inlineStr">
        <is>
          <t>Keep Year, Quarter, Region, Product, Units, Unit Price, Revenue, Cost.</t>
        </is>
      </c>
    </row>
    <row r="7">
      <c r="A7" t="inlineStr">
        <is>
          <t>Step 5</t>
        </is>
      </c>
      <c r="B7" t="inlineStr">
        <is>
          <t>Add Margin = Revenue - Cost.</t>
        </is>
      </c>
    </row>
    <row r="8">
      <c r="A8" t="inlineStr">
        <is>
          <t>Step 6</t>
        </is>
      </c>
      <c r="B8" t="inlineStr">
        <is>
          <t>Add Margin % = Margin / Revenue.</t>
        </is>
      </c>
    </row>
    <row r="9">
      <c r="A9" t="inlineStr">
        <is>
          <t>Step 7</t>
        </is>
      </c>
      <c r="B9" t="inlineStr">
        <is>
          <t>Close &amp; Load To → Table / PivotTable.</t>
        </is>
      </c>
    </row>
    <row r="10">
      <c r="A10" t="inlineStr">
        <is>
          <t>Refresh</t>
        </is>
      </c>
      <c r="B10" t="inlineStr">
        <is>
          <t>When new CSVs are added to the same folder, use Data → Refresh All.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11" t="inlineStr">
        <is>
          <t>Week 3 Day 3 — Excel Analysis</t>
        </is>
      </c>
    </row>
    <row r="2">
      <c r="A2" t="inlineStr">
        <is>
          <t>Completed workbook components</t>
        </is>
      </c>
    </row>
    <row r="3">
      <c r="A3" t="inlineStr">
        <is>
          <t>✓ Revenue summary by Region, Product and Quarter</t>
        </is>
      </c>
    </row>
    <row r="4">
      <c r="A4" t="inlineStr">
        <is>
          <t>✓ Margin and Margin % calculated fields</t>
        </is>
      </c>
    </row>
    <row r="5">
      <c r="A5" t="inlineStr">
        <is>
          <t>✓ Multi-CSV source files prepared for Power Query</t>
        </is>
      </c>
    </row>
    <row r="6">
      <c r="A6" t="inlineStr">
        <is>
          <t>✓ Revenue dashboard with KPI thresholds</t>
        </is>
      </c>
    </row>
    <row r="7">
      <c r="A7" t="inlineStr">
        <is>
          <t>✓ Revenue chart by region</t>
        </is>
      </c>
    </row>
    <row r="8">
      <c r="A8" t="inlineStr">
        <is>
          <t>✓ Slicer setup instructions</t>
        </is>
      </c>
    </row>
    <row r="9">
      <c r="A9" t="inlineStr">
        <is>
          <t>✓ Power Query setup and refresh instructions</t>
        </is>
      </c>
    </row>
    <row r="10">
      <c r="A10" t="inlineStr">
        <is>
          <t>Important</t>
        </is>
      </c>
      <c r="B10" t="inlineStr">
        <is>
          <t>Excel-native Power Query, PivotTable slicers and PivotChart connections must be refreshed/connected in desktop Excel because openpyxl cannot create those native Excel objects.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2026-09-28T05:53:57Z</dcterms:created>
  <dcterms:modified xmlns:dcterms="http://purl.org/dc/terms/" xmlns:xsi="http://www.w3.org/2001/XMLSchema-instance" xsi:type="dcterms:W3CDTF">2026-09-28T05:53:57Z</dcterms:modified>
</cp:coreProperties>
</file>